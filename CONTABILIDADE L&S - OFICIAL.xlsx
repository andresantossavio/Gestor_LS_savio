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É\Downloads\"/>
    </mc:Choice>
  </mc:AlternateContent>
  <xr:revisionPtr revIDLastSave="0" documentId="13_ncr:1_{119906DE-CD63-4E1D-A750-D4AE89FD1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radas" sheetId="1" r:id="rId1"/>
    <sheet name="Despesas" sheetId="2" r:id="rId2"/>
    <sheet name="Lançamentos Contábeis" sheetId="3" r:id="rId3"/>
    <sheet name="Plano de Contas" sheetId="4" r:id="rId4"/>
    <sheet name="Balanço" sheetId="5" r:id="rId5"/>
    <sheet name="Pró-labore" sheetId="6" r:id="rId6"/>
    <sheet name="DRE" sheetId="7" r:id="rId7"/>
    <sheet name="Lucros Disponíveis" sheetId="8" r:id="rId8"/>
    <sheet name="Lucros Distribuídos" sheetId="9" r:id="rId9"/>
    <sheet name="Fundos" sheetId="10" r:id="rId10"/>
    <sheet name="Cadastro de Sócios" sheetId="11" r:id="rId11"/>
    <sheet name="Configuração" sheetId="12" r:id="rId12"/>
  </sheets>
  <definedNames>
    <definedName name="_xlnm._FilterDatabase" localSheetId="1" hidden="1">Despesas!$D$2:$G$16</definedName>
    <definedName name="Apartada">'Cadastro de Sócios'!$K$2</definedName>
    <definedName name="Ativo">'Plano de Contas'!$A$2:$A$5</definedName>
    <definedName name="Crédito">'Plano de Contas'!$G$2:$G$14</definedName>
    <definedName name="Débito">'Plano de Contas'!$F$2:$F$14</definedName>
    <definedName name="Despesas">'Plano de Contas'!$A$14:$A$16</definedName>
    <definedName name="Espécie">'Cadastro de Sócios'!$J$2:$J$3</definedName>
    <definedName name="Estrutura">'Cadastro de Sócios'!$A$9</definedName>
    <definedName name="Geral">'Cadastro de Sócios'!$K$2:$K$8</definedName>
    <definedName name="Mês">Despesas!$A$3:$A$14</definedName>
    <definedName name="Natureza">'Plano de Contas'!$I$2:$I$5</definedName>
    <definedName name="Passivo">'Plano de Contas'!$A$6:$A$8</definedName>
    <definedName name="PL">'Plano de Contas'!$A$9:$A$11</definedName>
    <definedName name="Receita">'Plano de Contas'!$A$13</definedName>
    <definedName name="Responsável">'Cadastro de Sócios'!$A$2:$A$8</definedName>
    <definedName name="Situação">'Cadastro de Sócios'!$I$2:$I$6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wljIe9aypuJXSg4Q1pJrWEoxYCyHRnYKNe8eOQNokWA="/>
    </ext>
  </extLst>
</workbook>
</file>

<file path=xl/calcChain.xml><?xml version="1.0" encoding="utf-8"?>
<calcChain xmlns="http://schemas.openxmlformats.org/spreadsheetml/2006/main">
  <c r="C5" i="11" l="1"/>
  <c r="C8" i="11"/>
  <c r="C7" i="11"/>
  <c r="C6" i="11"/>
  <c r="E4" i="11"/>
  <c r="C4" i="11"/>
  <c r="J14" i="7"/>
  <c r="B13" i="7" a="1"/>
  <c r="B13" i="7" s="1"/>
  <c r="B12" i="7" a="1"/>
  <c r="B12" i="7" s="1"/>
  <c r="B11" i="7" a="1"/>
  <c r="B11" i="7" s="1"/>
  <c r="B10" i="7" a="1"/>
  <c r="B10" i="7" s="1"/>
  <c r="B9" i="7" a="1"/>
  <c r="B9" i="7" s="1"/>
  <c r="B8" i="7" a="1"/>
  <c r="B8" i="7" s="1"/>
  <c r="B7" i="7" a="1"/>
  <c r="B7" i="7" s="1"/>
  <c r="B6" i="7" a="1"/>
  <c r="B6" i="7" s="1"/>
  <c r="B5" i="7" a="1"/>
  <c r="B5" i="7" s="1"/>
  <c r="B4" i="7" a="1"/>
  <c r="B4" i="7" s="1"/>
  <c r="B3" i="7" a="1"/>
  <c r="B3" i="7" s="1"/>
  <c r="B2" i="7" a="1"/>
  <c r="B2" i="7" s="1"/>
  <c r="E34" i="4" a="1"/>
  <c r="E34" i="4"/>
  <c r="D34" i="4" a="1"/>
  <c r="D34" i="4" s="1"/>
  <c r="E33" i="4" a="1"/>
  <c r="E33" i="4"/>
  <c r="D33" i="4" a="1"/>
  <c r="D33" i="4" s="1"/>
  <c r="E32" i="4" a="1"/>
  <c r="E32" i="4" s="1"/>
  <c r="D32" i="4" a="1"/>
  <c r="D32" i="4" s="1"/>
  <c r="E31" i="4" a="1"/>
  <c r="E31" i="4" s="1"/>
  <c r="D31" i="4" a="1"/>
  <c r="D31" i="4" s="1"/>
  <c r="E30" i="4" a="1"/>
  <c r="E30" i="4"/>
  <c r="D30" i="4" a="1"/>
  <c r="D30" i="4" s="1"/>
  <c r="E29" i="4" a="1"/>
  <c r="E29" i="4"/>
  <c r="D29" i="4" a="1"/>
  <c r="D29" i="4" s="1"/>
  <c r="E28" i="4" a="1"/>
  <c r="E28" i="4" s="1"/>
  <c r="D28" i="4" a="1"/>
  <c r="D28" i="4" s="1"/>
  <c r="E27" i="4" a="1"/>
  <c r="E27" i="4" s="1"/>
  <c r="D27" i="4" a="1"/>
  <c r="D27" i="4" s="1"/>
  <c r="E26" i="4" a="1"/>
  <c r="E26" i="4"/>
  <c r="D26" i="4" a="1"/>
  <c r="D26" i="4" s="1"/>
  <c r="E25" i="4" a="1"/>
  <c r="E25" i="4"/>
  <c r="D25" i="4" a="1"/>
  <c r="D25" i="4" s="1"/>
  <c r="E24" i="4" a="1"/>
  <c r="E24" i="4" s="1"/>
  <c r="D24" i="4" a="1"/>
  <c r="D24" i="4" s="1"/>
  <c r="E23" i="4" a="1"/>
  <c r="E23" i="4" s="1"/>
  <c r="D23" i="4" a="1"/>
  <c r="D23" i="4" s="1"/>
  <c r="E22" i="4" a="1"/>
  <c r="E22" i="4"/>
  <c r="D22" i="4" a="1"/>
  <c r="D22" i="4" s="1"/>
  <c r="E21" i="4" a="1"/>
  <c r="E21" i="4"/>
  <c r="D21" i="4" a="1"/>
  <c r="D21" i="4" s="1"/>
  <c r="E20" i="4" a="1"/>
  <c r="E20" i="4" s="1"/>
  <c r="D20" i="4" a="1"/>
  <c r="D20" i="4" s="1"/>
  <c r="T14" i="2" a="1"/>
  <c r="T14" i="2" s="1"/>
  <c r="S14" i="2" a="1"/>
  <c r="S14" i="2" s="1"/>
  <c r="R14" i="2" a="1"/>
  <c r="R14" i="2" s="1"/>
  <c r="Q14" i="2" a="1"/>
  <c r="Q14" i="2" s="1"/>
  <c r="P14" i="2" a="1"/>
  <c r="P14" i="2" s="1"/>
  <c r="O14" i="2" a="1"/>
  <c r="O14" i="2" s="1"/>
  <c r="N14" i="2" a="1"/>
  <c r="N14" i="2" s="1"/>
  <c r="M14" i="2" a="1"/>
  <c r="M14" i="2" s="1"/>
  <c r="L14" i="2" a="1"/>
  <c r="L14" i="2" s="1"/>
  <c r="B14" i="2"/>
  <c r="I13" i="7" s="1"/>
  <c r="T13" i="2" a="1"/>
  <c r="T13" i="2" s="1"/>
  <c r="S13" i="2" a="1"/>
  <c r="S13" i="2"/>
  <c r="R13" i="2" a="1"/>
  <c r="R13" i="2" s="1"/>
  <c r="Q13" i="2" a="1"/>
  <c r="Q13" i="2"/>
  <c r="P13" i="2" a="1"/>
  <c r="P13" i="2" s="1"/>
  <c r="O13" i="2" a="1"/>
  <c r="O13" i="2"/>
  <c r="N13" i="2" a="1"/>
  <c r="N13" i="2" s="1"/>
  <c r="M13" i="2" a="1"/>
  <c r="M13" i="2" s="1"/>
  <c r="L13" i="2" a="1"/>
  <c r="L13" i="2" s="1"/>
  <c r="B13" i="2"/>
  <c r="I12" i="7" s="1"/>
  <c r="T12" i="2" a="1"/>
  <c r="T12" i="2" s="1"/>
  <c r="S12" i="2" a="1"/>
  <c r="S12" i="2" s="1"/>
  <c r="R12" i="2" a="1"/>
  <c r="R12" i="2" s="1"/>
  <c r="Q12" i="2" a="1"/>
  <c r="Q12" i="2" s="1"/>
  <c r="P12" i="2" a="1"/>
  <c r="P12" i="2" s="1"/>
  <c r="O12" i="2" a="1"/>
  <c r="O12" i="2"/>
  <c r="N12" i="2" a="1"/>
  <c r="N12" i="2" s="1"/>
  <c r="M12" i="2" a="1"/>
  <c r="M12" i="2"/>
  <c r="L12" i="2" a="1"/>
  <c r="L12" i="2" s="1"/>
  <c r="B12" i="2"/>
  <c r="I11" i="7" s="1"/>
  <c r="T11" i="2" a="1"/>
  <c r="T11" i="2" s="1"/>
  <c r="S11" i="2" a="1"/>
  <c r="S11" i="2" s="1"/>
  <c r="R11" i="2" a="1"/>
  <c r="R11" i="2" s="1"/>
  <c r="Q11" i="2" a="1"/>
  <c r="Q11" i="2" s="1"/>
  <c r="P11" i="2" a="1"/>
  <c r="P11" i="2" s="1"/>
  <c r="O11" i="2" a="1"/>
  <c r="O11" i="2" s="1"/>
  <c r="N11" i="2" a="1"/>
  <c r="N11" i="2" s="1"/>
  <c r="M11" i="2" a="1"/>
  <c r="M11" i="2"/>
  <c r="L11" i="2" a="1"/>
  <c r="L11" i="2" s="1"/>
  <c r="B11" i="2"/>
  <c r="I10" i="7" s="1"/>
  <c r="T10" i="2" a="1"/>
  <c r="T10" i="2" s="1"/>
  <c r="S10" i="2" a="1"/>
  <c r="S10" i="2" s="1"/>
  <c r="R10" i="2" a="1"/>
  <c r="R10" i="2"/>
  <c r="Q10" i="2" a="1"/>
  <c r="Q10" i="2" s="1"/>
  <c r="P10" i="2" a="1"/>
  <c r="P10" i="2"/>
  <c r="O10" i="2" a="1"/>
  <c r="O10" i="2" s="1"/>
  <c r="N10" i="2" a="1"/>
  <c r="N10" i="2" s="1"/>
  <c r="M10" i="2" a="1"/>
  <c r="M10" i="2" s="1"/>
  <c r="L10" i="2" a="1"/>
  <c r="L10" i="2" s="1"/>
  <c r="B10" i="2"/>
  <c r="I9" i="7" s="1"/>
  <c r="T9" i="2" a="1"/>
  <c r="T9" i="2"/>
  <c r="S9" i="2" a="1"/>
  <c r="S9" i="2" s="1"/>
  <c r="R9" i="2" a="1"/>
  <c r="R9" i="2"/>
  <c r="Q9" i="2" a="1"/>
  <c r="Q9" i="2" s="1"/>
  <c r="P9" i="2" a="1"/>
  <c r="P9" i="2" s="1"/>
  <c r="O9" i="2" a="1"/>
  <c r="O9" i="2" s="1"/>
  <c r="N9" i="2" a="1"/>
  <c r="N9" i="2" s="1"/>
  <c r="M9" i="2" a="1"/>
  <c r="M9" i="2" s="1"/>
  <c r="L9" i="2" a="1"/>
  <c r="L9" i="2"/>
  <c r="B9" i="2"/>
  <c r="I8" i="7" s="1"/>
  <c r="T8" i="2" a="1"/>
  <c r="T8" i="2" s="1"/>
  <c r="S8" i="2" a="1"/>
  <c r="S8" i="2"/>
  <c r="R8" i="2" a="1"/>
  <c r="R8" i="2" s="1"/>
  <c r="Q8" i="2" a="1"/>
  <c r="Q8" i="2"/>
  <c r="P8" i="2" a="1"/>
  <c r="P8" i="2" s="1"/>
  <c r="O8" i="2" a="1"/>
  <c r="O8" i="2"/>
  <c r="N8" i="2" a="1"/>
  <c r="N8" i="2" s="1"/>
  <c r="M8" i="2" a="1"/>
  <c r="M8" i="2"/>
  <c r="L8" i="2" a="1"/>
  <c r="L8" i="2" s="1"/>
  <c r="B8" i="2"/>
  <c r="I7" i="7" s="1"/>
  <c r="T7" i="2" a="1"/>
  <c r="T7" i="2" s="1"/>
  <c r="S7" i="2" a="1"/>
  <c r="S7" i="2" s="1"/>
  <c r="R7" i="2" a="1"/>
  <c r="R7" i="2" s="1"/>
  <c r="Q7" i="2" a="1"/>
  <c r="Q7" i="2" s="1"/>
  <c r="P7" i="2" a="1"/>
  <c r="P7" i="2" s="1"/>
  <c r="O7" i="2" a="1"/>
  <c r="O7" i="2"/>
  <c r="N7" i="2" a="1"/>
  <c r="N7" i="2" s="1"/>
  <c r="M7" i="2" a="1"/>
  <c r="M7" i="2"/>
  <c r="L7" i="2" a="1"/>
  <c r="L7" i="2" s="1"/>
  <c r="B7" i="2"/>
  <c r="I6" i="7" s="1"/>
  <c r="T6" i="2" a="1"/>
  <c r="T6" i="2"/>
  <c r="S6" i="2" a="1"/>
  <c r="S6" i="2" s="1"/>
  <c r="R6" i="2" a="1"/>
  <c r="R6" i="2"/>
  <c r="Q6" i="2" a="1"/>
  <c r="Q6" i="2" s="1"/>
  <c r="P6" i="2" a="1"/>
  <c r="P6" i="2"/>
  <c r="O6" i="2" a="1"/>
  <c r="O6" i="2" s="1"/>
  <c r="N6" i="2" a="1"/>
  <c r="N6" i="2" s="1"/>
  <c r="M6" i="2" a="1"/>
  <c r="M6" i="2" s="1"/>
  <c r="L6" i="2" a="1"/>
  <c r="L6" i="2"/>
  <c r="B6" i="2"/>
  <c r="I5" i="7" s="1"/>
  <c r="T5" i="2" a="1"/>
  <c r="T5" i="2"/>
  <c r="S5" i="2" a="1"/>
  <c r="S5" i="2" s="1"/>
  <c r="R5" i="2" a="1"/>
  <c r="R5" i="2"/>
  <c r="Q5" i="2" a="1"/>
  <c r="Q5" i="2" s="1"/>
  <c r="P5" i="2" a="1"/>
  <c r="P5" i="2" s="1"/>
  <c r="O5" i="2" a="1"/>
  <c r="O5" i="2" s="1"/>
  <c r="N5" i="2" a="1"/>
  <c r="N5" i="2"/>
  <c r="M5" i="2" a="1"/>
  <c r="M5" i="2" s="1"/>
  <c r="L5" i="2" a="1"/>
  <c r="L5" i="2"/>
  <c r="B5" i="2"/>
  <c r="I4" i="7" s="1"/>
  <c r="T4" i="2" a="1"/>
  <c r="T4" i="2" s="1"/>
  <c r="S4" i="2" a="1"/>
  <c r="S4" i="2" s="1"/>
  <c r="R4" i="2" a="1"/>
  <c r="R4" i="2" s="1"/>
  <c r="Q4" i="2" a="1"/>
  <c r="Q4" i="2"/>
  <c r="P4" i="2" a="1"/>
  <c r="P4" i="2" s="1"/>
  <c r="O4" i="2" a="1"/>
  <c r="O4" i="2" s="1"/>
  <c r="N4" i="2" a="1"/>
  <c r="N4" i="2" s="1"/>
  <c r="M4" i="2" a="1"/>
  <c r="M4" i="2"/>
  <c r="L4" i="2" a="1"/>
  <c r="L4" i="2" s="1"/>
  <c r="B4" i="2"/>
  <c r="I3" i="7" s="1"/>
  <c r="T3" i="2" a="1"/>
  <c r="T3" i="2" s="1"/>
  <c r="S3" i="2" a="1"/>
  <c r="S3" i="2" s="1"/>
  <c r="R3" i="2" a="1"/>
  <c r="R3" i="2" s="1"/>
  <c r="Q3" i="2" a="1"/>
  <c r="Q3" i="2"/>
  <c r="P3" i="2" a="1"/>
  <c r="P3" i="2" s="1"/>
  <c r="O3" i="2" a="1"/>
  <c r="O3" i="2"/>
  <c r="N3" i="2" a="1"/>
  <c r="N3" i="2" s="1"/>
  <c r="M3" i="2" a="1"/>
  <c r="M3" i="2"/>
  <c r="L3" i="2" a="1"/>
  <c r="L3" i="2" s="1"/>
  <c r="B3" i="2"/>
  <c r="I2" i="7" s="1"/>
  <c r="F27" i="4" l="1"/>
  <c r="C11" i="5" s="1"/>
  <c r="F24" i="4"/>
  <c r="C7" i="5" s="1"/>
  <c r="F28" i="4"/>
  <c r="C12" i="5" s="1"/>
  <c r="F21" i="4"/>
  <c r="C3" i="5" s="1"/>
  <c r="F33" i="4"/>
  <c r="F23" i="4"/>
  <c r="C5" i="5" s="1"/>
  <c r="F22" i="4"/>
  <c r="C4" i="5" s="1"/>
  <c r="F26" i="4"/>
  <c r="C9" i="5" s="1"/>
  <c r="F30" i="4"/>
  <c r="C14" i="5" s="1"/>
  <c r="F34" i="4"/>
  <c r="F31" i="4"/>
  <c r="F20" i="4"/>
  <c r="C2" i="5" s="1"/>
  <c r="F25" i="4"/>
  <c r="C8" i="5" s="1"/>
  <c r="F29" i="4"/>
  <c r="C13" i="5" s="1"/>
  <c r="F32" i="4"/>
  <c r="C9" i="11"/>
  <c r="E6" i="11" s="1"/>
  <c r="C12" i="7"/>
  <c r="C9" i="7"/>
  <c r="C5" i="7"/>
  <c r="C13" i="7"/>
  <c r="C10" i="7"/>
  <c r="C6" i="7"/>
  <c r="C2" i="7"/>
  <c r="C11" i="7"/>
  <c r="C7" i="7"/>
  <c r="C8" i="7"/>
  <c r="C4" i="7"/>
  <c r="C3" i="7"/>
  <c r="B15" i="2"/>
  <c r="C19" i="10" s="1"/>
  <c r="C10" i="5" l="1"/>
  <c r="C15" i="5" s="1"/>
  <c r="C6" i="5"/>
  <c r="E2" i="11"/>
  <c r="E3" i="11"/>
  <c r="E7" i="11"/>
  <c r="E8" i="11"/>
  <c r="F8" i="7"/>
  <c r="D8" i="7"/>
  <c r="F5" i="7"/>
  <c r="D5" i="7"/>
  <c r="E5" i="7" s="1"/>
  <c r="G5" i="7" s="1"/>
  <c r="D3" i="7"/>
  <c r="E3" i="7" s="1"/>
  <c r="G3" i="7" s="1"/>
  <c r="F3" i="7"/>
  <c r="D7" i="7"/>
  <c r="F7" i="7"/>
  <c r="D6" i="7"/>
  <c r="E6" i="7" s="1"/>
  <c r="G6" i="7" s="1"/>
  <c r="F6" i="7"/>
  <c r="F9" i="7"/>
  <c r="D9" i="7"/>
  <c r="F11" i="7"/>
  <c r="D11" i="7"/>
  <c r="D10" i="7"/>
  <c r="F10" i="7"/>
  <c r="D12" i="7"/>
  <c r="F12" i="7"/>
  <c r="F4" i="7"/>
  <c r="D4" i="7"/>
  <c r="D2" i="7"/>
  <c r="E2" i="7" s="1"/>
  <c r="G2" i="7" s="1"/>
  <c r="F2" i="7"/>
  <c r="F13" i="7"/>
  <c r="D13" i="7"/>
  <c r="E12" i="7" l="1"/>
  <c r="G12" i="7" s="1"/>
  <c r="E10" i="7"/>
  <c r="G10" i="7" s="1"/>
  <c r="E13" i="7"/>
  <c r="G13" i="7" s="1"/>
  <c r="E4" i="7"/>
  <c r="G4" i="7" s="1"/>
  <c r="E9" i="7"/>
  <c r="G9" i="7" s="1"/>
  <c r="E11" i="7"/>
  <c r="G11" i="7" s="1"/>
  <c r="E7" i="7"/>
  <c r="G7" i="7" s="1"/>
  <c r="E8" i="7"/>
  <c r="G8" i="7" s="1"/>
  <c r="E9" i="11"/>
  <c r="H2" i="7"/>
  <c r="J2" i="7"/>
  <c r="K2" i="7"/>
  <c r="H3" i="7"/>
  <c r="J3" i="7"/>
  <c r="K3" i="7"/>
  <c r="H4" i="7"/>
  <c r="J4" i="7"/>
  <c r="K4" i="7"/>
  <c r="H5" i="7"/>
  <c r="J5" i="7"/>
  <c r="K5" i="7"/>
  <c r="H6" i="7"/>
  <c r="J6" i="7"/>
  <c r="K6" i="7"/>
  <c r="H7" i="7"/>
  <c r="J7" i="7"/>
  <c r="K7" i="7"/>
  <c r="H8" i="7"/>
  <c r="J8" i="7"/>
  <c r="K8" i="7"/>
  <c r="H9" i="7"/>
  <c r="J9" i="7"/>
  <c r="K9" i="7"/>
  <c r="H10" i="7"/>
  <c r="J10" i="7"/>
  <c r="K10" i="7"/>
  <c r="H11" i="7"/>
  <c r="J11" i="7"/>
  <c r="K11" i="7"/>
  <c r="H12" i="7"/>
  <c r="J12" i="7"/>
  <c r="K12" i="7"/>
  <c r="H13" i="7"/>
  <c r="J13" i="7"/>
  <c r="K13" i="7"/>
  <c r="K14" i="7"/>
  <c r="B2" i="10"/>
  <c r="C2" i="10"/>
  <c r="D2" i="10" a="1"/>
  <c r="D2" i="10"/>
  <c r="E2" i="10" a="1"/>
  <c r="E2" i="10"/>
  <c r="F2" i="10" a="1"/>
  <c r="F2" i="10"/>
  <c r="G2" i="10" a="1"/>
  <c r="G2" i="10"/>
  <c r="H2" i="10" a="1"/>
  <c r="H2" i="10"/>
  <c r="I2" i="10" a="1"/>
  <c r="I2" i="10"/>
  <c r="J2" i="10" a="1"/>
  <c r="J2" i="10"/>
  <c r="K2" i="10" a="1"/>
  <c r="K2" i="10"/>
  <c r="L2" i="10" a="1"/>
  <c r="L2" i="10"/>
  <c r="B3" i="10"/>
  <c r="C3" i="10"/>
  <c r="D3" i="10" a="1"/>
  <c r="D3" i="10"/>
  <c r="E3" i="10" a="1"/>
  <c r="E3" i="10"/>
  <c r="F3" i="10" a="1"/>
  <c r="F3" i="10"/>
  <c r="G3" i="10" a="1"/>
  <c r="G3" i="10"/>
  <c r="H3" i="10" a="1"/>
  <c r="H3" i="10"/>
  <c r="I3" i="10" a="1"/>
  <c r="I3" i="10"/>
  <c r="J3" i="10" a="1"/>
  <c r="J3" i="10"/>
  <c r="K3" i="10" a="1"/>
  <c r="K3" i="10"/>
  <c r="L3" i="10" a="1"/>
  <c r="L3" i="10"/>
  <c r="B4" i="10"/>
  <c r="C4" i="10"/>
  <c r="D4" i="10" a="1"/>
  <c r="D4" i="10"/>
  <c r="E4" i="10" a="1"/>
  <c r="E4" i="10"/>
  <c r="F4" i="10" a="1"/>
  <c r="F4" i="10"/>
  <c r="G4" i="10" a="1"/>
  <c r="G4" i="10"/>
  <c r="H4" i="10" a="1"/>
  <c r="H4" i="10"/>
  <c r="I4" i="10" a="1"/>
  <c r="I4" i="10"/>
  <c r="J4" i="10" a="1"/>
  <c r="J4" i="10"/>
  <c r="K4" i="10" a="1"/>
  <c r="K4" i="10"/>
  <c r="L4" i="10" a="1"/>
  <c r="L4" i="10"/>
  <c r="B5" i="10"/>
  <c r="C5" i="10"/>
  <c r="D5" i="10" a="1"/>
  <c r="D5" i="10"/>
  <c r="E5" i="10" a="1"/>
  <c r="E5" i="10"/>
  <c r="F5" i="10" a="1"/>
  <c r="F5" i="10"/>
  <c r="G5" i="10" a="1"/>
  <c r="G5" i="10"/>
  <c r="H5" i="10" a="1"/>
  <c r="H5" i="10"/>
  <c r="I5" i="10" a="1"/>
  <c r="I5" i="10"/>
  <c r="J5" i="10" a="1"/>
  <c r="J5" i="10"/>
  <c r="K5" i="10" a="1"/>
  <c r="K5" i="10"/>
  <c r="L5" i="10" a="1"/>
  <c r="L5" i="10"/>
  <c r="B6" i="10"/>
  <c r="C6" i="10"/>
  <c r="D6" i="10" a="1"/>
  <c r="D6" i="10"/>
  <c r="E6" i="10" a="1"/>
  <c r="E6" i="10"/>
  <c r="F6" i="10" a="1"/>
  <c r="F6" i="10"/>
  <c r="G6" i="10" a="1"/>
  <c r="G6" i="10"/>
  <c r="H6" i="10" a="1"/>
  <c r="H6" i="10"/>
  <c r="I6" i="10" a="1"/>
  <c r="I6" i="10"/>
  <c r="J6" i="10" a="1"/>
  <c r="J6" i="10"/>
  <c r="K6" i="10" a="1"/>
  <c r="K6" i="10"/>
  <c r="L6" i="10" a="1"/>
  <c r="L6" i="10"/>
  <c r="B7" i="10"/>
  <c r="C7" i="10"/>
  <c r="D7" i="10" a="1"/>
  <c r="D7" i="10"/>
  <c r="E7" i="10" a="1"/>
  <c r="E7" i="10"/>
  <c r="F7" i="10" a="1"/>
  <c r="F7" i="10"/>
  <c r="G7" i="10" a="1"/>
  <c r="G7" i="10"/>
  <c r="H7" i="10" a="1"/>
  <c r="H7" i="10"/>
  <c r="I7" i="10" a="1"/>
  <c r="I7" i="10"/>
  <c r="J7" i="10" a="1"/>
  <c r="J7" i="10"/>
  <c r="K7" i="10" a="1"/>
  <c r="K7" i="10"/>
  <c r="L7" i="10" a="1"/>
  <c r="L7" i="10"/>
  <c r="B8" i="10"/>
  <c r="C8" i="10"/>
  <c r="D8" i="10" a="1"/>
  <c r="D8" i="10"/>
  <c r="E8" i="10" a="1"/>
  <c r="E8" i="10"/>
  <c r="F8" i="10" a="1"/>
  <c r="F8" i="10"/>
  <c r="G8" i="10" a="1"/>
  <c r="G8" i="10"/>
  <c r="H8" i="10" a="1"/>
  <c r="H8" i="10"/>
  <c r="I8" i="10" a="1"/>
  <c r="I8" i="10"/>
  <c r="J8" i="10" a="1"/>
  <c r="J8" i="10"/>
  <c r="K8" i="10" a="1"/>
  <c r="K8" i="10"/>
  <c r="L8" i="10" a="1"/>
  <c r="L8" i="10"/>
  <c r="B9" i="10"/>
  <c r="C9" i="10"/>
  <c r="D9" i="10" a="1"/>
  <c r="D9" i="10"/>
  <c r="E9" i="10" a="1"/>
  <c r="E9" i="10"/>
  <c r="F9" i="10" a="1"/>
  <c r="F9" i="10"/>
  <c r="G9" i="10" a="1"/>
  <c r="G9" i="10"/>
  <c r="H9" i="10" a="1"/>
  <c r="H9" i="10"/>
  <c r="I9" i="10" a="1"/>
  <c r="I9" i="10"/>
  <c r="J9" i="10" a="1"/>
  <c r="J9" i="10"/>
  <c r="K9" i="10" a="1"/>
  <c r="K9" i="10"/>
  <c r="L9" i="10" a="1"/>
  <c r="L9" i="10"/>
  <c r="B10" i="10"/>
  <c r="C10" i="10"/>
  <c r="D10" i="10" a="1"/>
  <c r="D10" i="10"/>
  <c r="E10" i="10" a="1"/>
  <c r="E10" i="10"/>
  <c r="F10" i="10" a="1"/>
  <c r="F10" i="10"/>
  <c r="G10" i="10" a="1"/>
  <c r="G10" i="10"/>
  <c r="H10" i="10" a="1"/>
  <c r="H10" i="10"/>
  <c r="I10" i="10" a="1"/>
  <c r="I10" i="10"/>
  <c r="J10" i="10" a="1"/>
  <c r="J10" i="10"/>
  <c r="K10" i="10" a="1"/>
  <c r="K10" i="10"/>
  <c r="L10" i="10" a="1"/>
  <c r="L10" i="10"/>
  <c r="B11" i="10"/>
  <c r="C11" i="10"/>
  <c r="D11" i="10" a="1"/>
  <c r="D11" i="10"/>
  <c r="E11" i="10" a="1"/>
  <c r="E11" i="10"/>
  <c r="F11" i="10" a="1"/>
  <c r="F11" i="10"/>
  <c r="G11" i="10" a="1"/>
  <c r="G11" i="10"/>
  <c r="H11" i="10" a="1"/>
  <c r="H11" i="10"/>
  <c r="I11" i="10" a="1"/>
  <c r="I11" i="10"/>
  <c r="J11" i="10" a="1"/>
  <c r="J11" i="10"/>
  <c r="K11" i="10" a="1"/>
  <c r="K11" i="10"/>
  <c r="L11" i="10" a="1"/>
  <c r="L11" i="10"/>
  <c r="B12" i="10"/>
  <c r="C12" i="10"/>
  <c r="D12" i="10" a="1"/>
  <c r="D12" i="10"/>
  <c r="E12" i="10" a="1"/>
  <c r="E12" i="10"/>
  <c r="F12" i="10" a="1"/>
  <c r="F12" i="10"/>
  <c r="G12" i="10" a="1"/>
  <c r="G12" i="10"/>
  <c r="H12" i="10" a="1"/>
  <c r="H12" i="10"/>
  <c r="I12" i="10" a="1"/>
  <c r="I12" i="10"/>
  <c r="J12" i="10" a="1"/>
  <c r="J12" i="10"/>
  <c r="K12" i="10" a="1"/>
  <c r="K12" i="10"/>
  <c r="L12" i="10" a="1"/>
  <c r="L12" i="10"/>
  <c r="B13" i="10"/>
  <c r="C13" i="10"/>
  <c r="D13" i="10" a="1"/>
  <c r="D13" i="10"/>
  <c r="E13" i="10" a="1"/>
  <c r="E13" i="10"/>
  <c r="F13" i="10" a="1"/>
  <c r="F13" i="10"/>
  <c r="G13" i="10" a="1"/>
  <c r="G13" i="10"/>
  <c r="H13" i="10" a="1"/>
  <c r="H13" i="10"/>
  <c r="I13" i="10" a="1"/>
  <c r="I13" i="10"/>
  <c r="J13" i="10" a="1"/>
  <c r="J13" i="10"/>
  <c r="K13" i="10" a="1"/>
  <c r="K13" i="10"/>
  <c r="L13" i="10" a="1"/>
  <c r="L13" i="10"/>
  <c r="C16" i="10"/>
  <c r="D16" i="10"/>
  <c r="E16" i="10"/>
  <c r="F16" i="10"/>
  <c r="G16" i="10"/>
  <c r="H16" i="10"/>
  <c r="I16" i="10"/>
  <c r="J16" i="10"/>
  <c r="K16" i="10"/>
  <c r="L16" i="10"/>
  <c r="C17" i="10"/>
  <c r="D17" i="10"/>
  <c r="E17" i="10"/>
  <c r="F17" i="10"/>
  <c r="G17" i="10"/>
  <c r="H17" i="10"/>
  <c r="I17" i="10"/>
  <c r="J17" i="10"/>
  <c r="K17" i="10"/>
  <c r="L17" i="10"/>
  <c r="C18" i="10"/>
  <c r="D18" i="10"/>
  <c r="E18" i="10"/>
  <c r="F18" i="10"/>
  <c r="G18" i="10"/>
  <c r="H18" i="10"/>
  <c r="I18" i="10"/>
  <c r="J18" i="10"/>
  <c r="K18" i="10"/>
  <c r="L18" i="10"/>
  <c r="C20" i="10"/>
  <c r="C21" i="10"/>
  <c r="C22" i="10"/>
  <c r="D22" i="10"/>
  <c r="E22" i="10"/>
  <c r="F22" i="10"/>
  <c r="G22" i="10"/>
  <c r="H22" i="10"/>
  <c r="I22" i="10"/>
  <c r="J22" i="10"/>
  <c r="K22" i="10"/>
  <c r="L22" i="10"/>
  <c r="C23" i="10"/>
  <c r="B2" i="8" a="1"/>
  <c r="B2" i="8"/>
  <c r="C2" i="8" a="1"/>
  <c r="C2" i="8"/>
  <c r="D2" i="8" a="1"/>
  <c r="D2" i="8"/>
  <c r="E2" i="8" a="1"/>
  <c r="E2" i="8"/>
  <c r="F2" i="8" a="1"/>
  <c r="F2" i="8"/>
  <c r="G2" i="8" a="1"/>
  <c r="G2" i="8"/>
  <c r="H2" i="8" a="1"/>
  <c r="H2" i="8"/>
  <c r="I2" i="8" a="1"/>
  <c r="I2" i="8"/>
  <c r="J2" i="8" a="1"/>
  <c r="J2" i="8"/>
  <c r="K2" i="8" a="1"/>
  <c r="K2" i="8"/>
  <c r="L2" i="8" a="1"/>
  <c r="L2" i="8"/>
  <c r="B3" i="8" a="1"/>
  <c r="B3" i="8"/>
  <c r="C3" i="8" a="1"/>
  <c r="C3" i="8"/>
  <c r="D3" i="8" a="1"/>
  <c r="D3" i="8"/>
  <c r="E3" i="8" a="1"/>
  <c r="E3" i="8"/>
  <c r="F3" i="8" a="1"/>
  <c r="F3" i="8"/>
  <c r="G3" i="8" a="1"/>
  <c r="G3" i="8"/>
  <c r="H3" i="8" a="1"/>
  <c r="H3" i="8"/>
  <c r="I3" i="8" a="1"/>
  <c r="I3" i="8"/>
  <c r="J3" i="8" a="1"/>
  <c r="J3" i="8"/>
  <c r="K3" i="8" a="1"/>
  <c r="K3" i="8"/>
  <c r="L3" i="8" a="1"/>
  <c r="L3" i="8"/>
  <c r="B4" i="8" a="1"/>
  <c r="B4" i="8"/>
  <c r="C4" i="8" a="1"/>
  <c r="C4" i="8"/>
  <c r="D4" i="8" a="1"/>
  <c r="D4" i="8"/>
  <c r="E4" i="8" a="1"/>
  <c r="E4" i="8"/>
  <c r="F4" i="8" a="1"/>
  <c r="F4" i="8"/>
  <c r="G4" i="8" a="1"/>
  <c r="G4" i="8"/>
  <c r="H4" i="8" a="1"/>
  <c r="H4" i="8"/>
  <c r="I4" i="8" a="1"/>
  <c r="I4" i="8"/>
  <c r="J4" i="8" a="1"/>
  <c r="J4" i="8"/>
  <c r="K4" i="8" a="1"/>
  <c r="K4" i="8"/>
  <c r="L4" i="8" a="1"/>
  <c r="L4" i="8"/>
  <c r="B5" i="8" a="1"/>
  <c r="B5" i="8"/>
  <c r="C5" i="8" a="1"/>
  <c r="C5" i="8"/>
  <c r="D5" i="8" a="1"/>
  <c r="D5" i="8"/>
  <c r="E5" i="8" a="1"/>
  <c r="E5" i="8"/>
  <c r="F5" i="8" a="1"/>
  <c r="F5" i="8"/>
  <c r="G5" i="8" a="1"/>
  <c r="G5" i="8"/>
  <c r="H5" i="8" a="1"/>
  <c r="H5" i="8"/>
  <c r="I5" i="8" a="1"/>
  <c r="I5" i="8"/>
  <c r="J5" i="8" a="1"/>
  <c r="J5" i="8"/>
  <c r="K5" i="8" a="1"/>
  <c r="K5" i="8"/>
  <c r="L5" i="8" a="1"/>
  <c r="L5" i="8"/>
  <c r="B6" i="8" a="1"/>
  <c r="B6" i="8"/>
  <c r="C6" i="8" a="1"/>
  <c r="C6" i="8"/>
  <c r="D6" i="8" a="1"/>
  <c r="D6" i="8"/>
  <c r="E6" i="8" a="1"/>
  <c r="E6" i="8"/>
  <c r="F6" i="8" a="1"/>
  <c r="F6" i="8"/>
  <c r="G6" i="8" a="1"/>
  <c r="G6" i="8"/>
  <c r="H6" i="8" a="1"/>
  <c r="H6" i="8"/>
  <c r="I6" i="8" a="1"/>
  <c r="I6" i="8"/>
  <c r="J6" i="8" a="1"/>
  <c r="J6" i="8"/>
  <c r="K6" i="8" a="1"/>
  <c r="K6" i="8"/>
  <c r="L6" i="8" a="1"/>
  <c r="L6" i="8"/>
  <c r="B7" i="8" a="1"/>
  <c r="B7" i="8"/>
  <c r="C7" i="8" a="1"/>
  <c r="C7" i="8"/>
  <c r="D7" i="8" a="1"/>
  <c r="D7" i="8"/>
  <c r="E7" i="8" a="1"/>
  <c r="E7" i="8"/>
  <c r="F7" i="8" a="1"/>
  <c r="F7" i="8"/>
  <c r="G7" i="8" a="1"/>
  <c r="G7" i="8"/>
  <c r="H7" i="8" a="1"/>
  <c r="H7" i="8"/>
  <c r="I7" i="8" a="1"/>
  <c r="I7" i="8"/>
  <c r="J7" i="8" a="1"/>
  <c r="J7" i="8"/>
  <c r="K7" i="8" a="1"/>
  <c r="K7" i="8"/>
  <c r="L7" i="8" a="1"/>
  <c r="L7" i="8"/>
  <c r="B8" i="8" a="1"/>
  <c r="B8" i="8"/>
  <c r="C8" i="8" a="1"/>
  <c r="C8" i="8"/>
  <c r="D8" i="8" a="1"/>
  <c r="D8" i="8"/>
  <c r="E8" i="8" a="1"/>
  <c r="E8" i="8"/>
  <c r="F8" i="8" a="1"/>
  <c r="F8" i="8"/>
  <c r="G8" i="8" a="1"/>
  <c r="G8" i="8"/>
  <c r="H8" i="8" a="1"/>
  <c r="H8" i="8"/>
  <c r="I8" i="8" a="1"/>
  <c r="I8" i="8"/>
  <c r="J8" i="8" a="1"/>
  <c r="J8" i="8"/>
  <c r="K8" i="8" a="1"/>
  <c r="K8" i="8"/>
  <c r="L8" i="8" a="1"/>
  <c r="L8" i="8"/>
  <c r="B9" i="8" a="1"/>
  <c r="B9" i="8"/>
  <c r="C9" i="8" a="1"/>
  <c r="C9" i="8"/>
  <c r="D9" i="8" a="1"/>
  <c r="D9" i="8"/>
  <c r="E9" i="8" a="1"/>
  <c r="E9" i="8"/>
  <c r="F9" i="8" a="1"/>
  <c r="F9" i="8"/>
  <c r="G9" i="8" a="1"/>
  <c r="G9" i="8"/>
  <c r="H9" i="8" a="1"/>
  <c r="H9" i="8"/>
  <c r="I9" i="8" a="1"/>
  <c r="I9" i="8"/>
  <c r="J9" i="8" a="1"/>
  <c r="J9" i="8"/>
  <c r="K9" i="8" a="1"/>
  <c r="K9" i="8"/>
  <c r="L9" i="8" a="1"/>
  <c r="L9" i="8"/>
  <c r="B10" i="8" a="1"/>
  <c r="B10" i="8"/>
  <c r="C10" i="8" a="1"/>
  <c r="C10" i="8"/>
  <c r="D10" i="8" a="1"/>
  <c r="D10" i="8"/>
  <c r="E10" i="8" a="1"/>
  <c r="E10" i="8"/>
  <c r="F10" i="8" a="1"/>
  <c r="F10" i="8"/>
  <c r="G10" i="8" a="1"/>
  <c r="G10" i="8"/>
  <c r="H10" i="8" a="1"/>
  <c r="H10" i="8"/>
  <c r="I10" i="8" a="1"/>
  <c r="I10" i="8"/>
  <c r="J10" i="8" a="1"/>
  <c r="J10" i="8"/>
  <c r="K10" i="8" a="1"/>
  <c r="K10" i="8"/>
  <c r="L10" i="8" a="1"/>
  <c r="L10" i="8"/>
  <c r="B11" i="8" a="1"/>
  <c r="B11" i="8"/>
  <c r="C11" i="8" a="1"/>
  <c r="C11" i="8"/>
  <c r="D11" i="8" a="1"/>
  <c r="D11" i="8"/>
  <c r="E11" i="8" a="1"/>
  <c r="E11" i="8"/>
  <c r="F11" i="8" a="1"/>
  <c r="F11" i="8"/>
  <c r="G11" i="8" a="1"/>
  <c r="G11" i="8"/>
  <c r="H11" i="8" a="1"/>
  <c r="H11" i="8"/>
  <c r="I11" i="8" a="1"/>
  <c r="I11" i="8"/>
  <c r="J11" i="8" a="1"/>
  <c r="J11" i="8"/>
  <c r="K11" i="8" a="1"/>
  <c r="K11" i="8"/>
  <c r="L11" i="8" a="1"/>
  <c r="L11" i="8"/>
  <c r="B12" i="8" a="1"/>
  <c r="B12" i="8"/>
  <c r="C12" i="8" a="1"/>
  <c r="C12" i="8"/>
  <c r="D12" i="8" a="1"/>
  <c r="D12" i="8"/>
  <c r="E12" i="8" a="1"/>
  <c r="E12" i="8"/>
  <c r="F12" i="8" a="1"/>
  <c r="F12" i="8"/>
  <c r="G12" i="8" a="1"/>
  <c r="G12" i="8"/>
  <c r="H12" i="8" a="1"/>
  <c r="H12" i="8"/>
  <c r="I12" i="8" a="1"/>
  <c r="I12" i="8"/>
  <c r="J12" i="8" a="1"/>
  <c r="J12" i="8"/>
  <c r="K12" i="8" a="1"/>
  <c r="K12" i="8"/>
  <c r="L12" i="8" a="1"/>
  <c r="L12" i="8"/>
  <c r="B13" i="8" a="1"/>
  <c r="B13" i="8"/>
  <c r="C13" i="8" a="1"/>
  <c r="C13" i="8"/>
  <c r="D13" i="8" a="1"/>
  <c r="D13" i="8"/>
  <c r="E13" i="8" a="1"/>
  <c r="E13" i="8"/>
  <c r="F13" i="8" a="1"/>
  <c r="F13" i="8"/>
  <c r="G13" i="8" a="1"/>
  <c r="G13" i="8"/>
  <c r="H13" i="8" a="1"/>
  <c r="H13" i="8"/>
  <c r="I13" i="8" a="1"/>
  <c r="I13" i="8"/>
  <c r="J13" i="8" a="1"/>
  <c r="J13" i="8"/>
  <c r="K13" i="8" a="1"/>
  <c r="K13" i="8"/>
  <c r="L13" i="8" a="1"/>
  <c r="L13" i="8"/>
  <c r="B2" i="9"/>
  <c r="C2" i="9"/>
  <c r="D2" i="9"/>
  <c r="E2" i="9"/>
  <c r="F2" i="9"/>
  <c r="G2" i="9"/>
  <c r="H2" i="9"/>
  <c r="I2" i="9"/>
  <c r="J2" i="9"/>
  <c r="B3" i="9"/>
  <c r="C3" i="9"/>
  <c r="D3" i="9"/>
  <c r="E3" i="9"/>
  <c r="F3" i="9"/>
  <c r="G3" i="9"/>
  <c r="H3" i="9"/>
  <c r="I3" i="9"/>
  <c r="J3" i="9"/>
  <c r="B4" i="9"/>
  <c r="C4" i="9"/>
  <c r="D4" i="9"/>
  <c r="E4" i="9"/>
  <c r="F4" i="9"/>
  <c r="G4" i="9"/>
  <c r="H4" i="9"/>
  <c r="I4" i="9"/>
  <c r="J4" i="9"/>
  <c r="B5" i="9"/>
  <c r="C5" i="9"/>
  <c r="D5" i="9"/>
  <c r="E5" i="9"/>
  <c r="F5" i="9"/>
  <c r="G5" i="9"/>
  <c r="H5" i="9"/>
  <c r="I5" i="9"/>
  <c r="J5" i="9"/>
  <c r="B6" i="9"/>
  <c r="C6" i="9"/>
  <c r="D6" i="9"/>
  <c r="E6" i="9"/>
  <c r="F6" i="9"/>
  <c r="G6" i="9"/>
  <c r="H6" i="9"/>
  <c r="I6" i="9"/>
  <c r="J6" i="9"/>
  <c r="B7" i="9"/>
  <c r="C7" i="9"/>
  <c r="D7" i="9"/>
  <c r="E7" i="9"/>
  <c r="F7" i="9"/>
  <c r="G7" i="9"/>
  <c r="H7" i="9"/>
  <c r="I7" i="9"/>
  <c r="J7" i="9"/>
  <c r="B8" i="9"/>
  <c r="C8" i="9"/>
  <c r="D8" i="9"/>
  <c r="E8" i="9"/>
  <c r="F8" i="9"/>
  <c r="G8" i="9"/>
  <c r="H8" i="9"/>
  <c r="I8" i="9"/>
  <c r="J8" i="9"/>
  <c r="B9" i="9"/>
  <c r="C9" i="9"/>
  <c r="D9" i="9"/>
  <c r="E9" i="9"/>
  <c r="F9" i="9"/>
  <c r="G9" i="9"/>
  <c r="H9" i="9"/>
  <c r="I9" i="9"/>
  <c r="J9" i="9"/>
  <c r="B10" i="9"/>
  <c r="C10" i="9"/>
  <c r="D10" i="9"/>
  <c r="E10" i="9"/>
  <c r="F10" i="9"/>
  <c r="G10" i="9"/>
  <c r="H10" i="9"/>
  <c r="I10" i="9"/>
  <c r="J10" i="9"/>
  <c r="B11" i="9"/>
  <c r="C11" i="9"/>
  <c r="D11" i="9"/>
  <c r="E11" i="9"/>
  <c r="F11" i="9"/>
  <c r="G11" i="9"/>
  <c r="H11" i="9"/>
  <c r="I11" i="9"/>
  <c r="J11" i="9"/>
  <c r="B12" i="9"/>
  <c r="C12" i="9"/>
  <c r="D12" i="9"/>
  <c r="E12" i="9"/>
  <c r="F12" i="9"/>
  <c r="G12" i="9"/>
  <c r="H12" i="9"/>
  <c r="I12" i="9"/>
  <c r="J12" i="9"/>
  <c r="B13" i="9"/>
  <c r="C13" i="9"/>
  <c r="D13" i="9"/>
  <c r="E13" i="9"/>
  <c r="F13" i="9"/>
  <c r="G13" i="9"/>
  <c r="H13" i="9"/>
  <c r="I13" i="9"/>
  <c r="J13" i="9"/>
  <c r="B14" i="9" a="1"/>
  <c r="B14" i="9"/>
  <c r="C14" i="9"/>
  <c r="D14" i="9"/>
  <c r="E14" i="9"/>
  <c r="F14" i="9"/>
  <c r="G14" i="9"/>
  <c r="H14" i="9"/>
  <c r="I14" i="9"/>
  <c r="J14" i="9"/>
  <c r="B15" i="9"/>
  <c r="C15" i="9"/>
  <c r="D15" i="9"/>
  <c r="E15" i="9"/>
  <c r="F15" i="9"/>
  <c r="G15" i="9"/>
  <c r="H15" i="9"/>
  <c r="I15" i="9"/>
  <c r="J15" i="9"/>
  <c r="D3" i="6" a="1"/>
  <c r="D3" i="6"/>
  <c r="E3" i="6"/>
  <c r="F3" i="6"/>
  <c r="H3" i="6"/>
  <c r="I3" i="6"/>
  <c r="J3" i="6"/>
  <c r="D4" i="6" a="1"/>
  <c r="D4" i="6"/>
  <c r="E4" i="6"/>
  <c r="F4" i="6"/>
  <c r="H4" i="6"/>
  <c r="I4" i="6"/>
  <c r="J4" i="6"/>
  <c r="D5" i="6" a="1"/>
  <c r="D5" i="6"/>
  <c r="E5" i="6"/>
  <c r="F5" i="6"/>
  <c r="H5" i="6"/>
  <c r="I5" i="6"/>
  <c r="J5" i="6"/>
  <c r="D6" i="6" a="1"/>
  <c r="D6" i="6"/>
  <c r="E6" i="6"/>
  <c r="F6" i="6"/>
  <c r="H6" i="6"/>
  <c r="I6" i="6"/>
  <c r="J6" i="6"/>
  <c r="D7" i="6" a="1"/>
  <c r="D7" i="6"/>
  <c r="E7" i="6"/>
  <c r="F7" i="6"/>
  <c r="H7" i="6"/>
  <c r="I7" i="6"/>
  <c r="J7" i="6"/>
  <c r="D8" i="6" a="1"/>
  <c r="D8" i="6"/>
  <c r="E8" i="6"/>
  <c r="F8" i="6"/>
  <c r="H8" i="6"/>
  <c r="I8" i="6"/>
  <c r="J8" i="6"/>
  <c r="D9" i="6" a="1"/>
  <c r="D9" i="6"/>
  <c r="E9" i="6"/>
  <c r="F9" i="6"/>
  <c r="H9" i="6"/>
  <c r="I9" i="6"/>
  <c r="J9" i="6"/>
  <c r="D10" i="6" a="1"/>
  <c r="D10" i="6"/>
  <c r="E10" i="6"/>
  <c r="F10" i="6"/>
  <c r="H10" i="6"/>
  <c r="I10" i="6"/>
  <c r="J10" i="6"/>
  <c r="D11" i="6" a="1"/>
  <c r="D11" i="6"/>
  <c r="E11" i="6"/>
  <c r="F11" i="6"/>
  <c r="H11" i="6"/>
  <c r="I11" i="6"/>
  <c r="J11" i="6"/>
  <c r="D12" i="6" a="1"/>
  <c r="D12" i="6"/>
  <c r="E12" i="6"/>
  <c r="F12" i="6"/>
  <c r="H12" i="6"/>
  <c r="I12" i="6"/>
  <c r="J12" i="6"/>
  <c r="D13" i="6" a="1"/>
  <c r="D13" i="6"/>
  <c r="E13" i="6"/>
  <c r="F13" i="6"/>
  <c r="H13" i="6"/>
  <c r="I13" i="6"/>
  <c r="J13" i="6"/>
  <c r="D14" i="6" a="1"/>
  <c r="D14" i="6"/>
  <c r="E14" i="6"/>
  <c r="F14" i="6"/>
  <c r="H14" i="6"/>
  <c r="I14" i="6"/>
  <c r="J14" i="6"/>
  <c r="D19" i="6" a="1"/>
  <c r="D19" i="6"/>
  <c r="E19" i="6"/>
  <c r="F19" i="6"/>
  <c r="G19" i="6"/>
  <c r="H19" i="6"/>
  <c r="D20" i="6" a="1"/>
  <c r="D20" i="6"/>
  <c r="E20" i="6"/>
  <c r="F20" i="6"/>
  <c r="G20" i="6"/>
  <c r="H20" i="6"/>
  <c r="D21" i="6" a="1"/>
  <c r="D21" i="6"/>
  <c r="E21" i="6"/>
  <c r="F21" i="6"/>
  <c r="G21" i="6"/>
  <c r="H21" i="6"/>
  <c r="D22" i="6" a="1"/>
  <c r="D22" i="6"/>
  <c r="E22" i="6"/>
  <c r="F22" i="6"/>
  <c r="G22" i="6"/>
  <c r="H22" i="6"/>
  <c r="D23" i="6" a="1"/>
  <c r="D23" i="6"/>
  <c r="E23" i="6"/>
  <c r="F23" i="6"/>
  <c r="G23" i="6"/>
  <c r="H23" i="6"/>
  <c r="D24" i="6" a="1"/>
  <c r="D24" i="6"/>
  <c r="E24" i="6"/>
  <c r="F24" i="6"/>
  <c r="G24" i="6"/>
  <c r="H24" i="6"/>
  <c r="D25" i="6" a="1"/>
  <c r="D25" i="6"/>
  <c r="E25" i="6"/>
  <c r="F25" i="6"/>
  <c r="G25" i="6"/>
  <c r="H25" i="6"/>
  <c r="D26" i="6" a="1"/>
  <c r="D26" i="6"/>
  <c r="E26" i="6"/>
  <c r="F26" i="6"/>
  <c r="G26" i="6"/>
  <c r="H26" i="6"/>
  <c r="D27" i="6" a="1"/>
  <c r="D27" i="6"/>
  <c r="E27" i="6"/>
  <c r="F27" i="6"/>
  <c r="G27" i="6"/>
  <c r="H27" i="6"/>
  <c r="D28" i="6" a="1"/>
  <c r="D28" i="6"/>
  <c r="E28" i="6"/>
  <c r="F28" i="6"/>
  <c r="G28" i="6"/>
  <c r="H28" i="6"/>
  <c r="D29" i="6" a="1"/>
  <c r="D29" i="6"/>
  <c r="E29" i="6"/>
  <c r="F29" i="6"/>
  <c r="G29" i="6"/>
  <c r="H29" i="6"/>
  <c r="D30" i="6" a="1"/>
  <c r="D30" i="6"/>
  <c r="E30" i="6"/>
  <c r="F30" i="6"/>
  <c r="G30" i="6"/>
  <c r="H30" i="6"/>
  <c r="D31" i="6"/>
  <c r="E31" i="6"/>
  <c r="F31" i="6"/>
  <c r="G31" i="6"/>
  <c r="H31" i="6"/>
</calcChain>
</file>

<file path=xl/sharedStrings.xml><?xml version="1.0" encoding="utf-8"?>
<sst xmlns="http://schemas.openxmlformats.org/spreadsheetml/2006/main" count="547" uniqueCount="154">
  <si>
    <t>Cliente</t>
  </si>
  <si>
    <t>Data</t>
  </si>
  <si>
    <t>Valor Recebido (R$)</t>
  </si>
  <si>
    <t>André Savio</t>
  </si>
  <si>
    <t>Bruna Leão</t>
  </si>
  <si>
    <t>Fernanda Canha</t>
  </si>
  <si>
    <t>Nicole Pazzini</t>
  </si>
  <si>
    <t>Bianka Lima</t>
  </si>
  <si>
    <t>Daniele</t>
  </si>
  <si>
    <t>Luciane</t>
  </si>
  <si>
    <t>Rodrigo Velho de Almeida</t>
  </si>
  <si>
    <t>Taiana</t>
  </si>
  <si>
    <t>F F DE FREITAS LTDA</t>
  </si>
  <si>
    <t>Demonstrativo de Custos Gerais por Mês</t>
  </si>
  <si>
    <t>Lista de Despesas Gerais</t>
  </si>
  <si>
    <t>Lista de Despesa Individual</t>
  </si>
  <si>
    <t>Mês</t>
  </si>
  <si>
    <t>Despesas Gerais</t>
  </si>
  <si>
    <t xml:space="preserve">Espécie </t>
  </si>
  <si>
    <t>Responsável</t>
  </si>
  <si>
    <t>Tipo</t>
  </si>
  <si>
    <t>Descrição</t>
  </si>
  <si>
    <t>Valor</t>
  </si>
  <si>
    <t>Estrutura</t>
  </si>
  <si>
    <t>L&amp;S</t>
  </si>
  <si>
    <t>Estagiário</t>
  </si>
  <si>
    <t>Condomínio</t>
  </si>
  <si>
    <t>Individual/Setor</t>
  </si>
  <si>
    <t>Internet</t>
  </si>
  <si>
    <t>Sistema de gestão</t>
  </si>
  <si>
    <t>Total</t>
  </si>
  <si>
    <t>Conta Débito</t>
  </si>
  <si>
    <t>Conta Crédito</t>
  </si>
  <si>
    <t>Valor (R$)</t>
  </si>
  <si>
    <t>Histórico</t>
  </si>
  <si>
    <t>Equipamentos / Móveis</t>
  </si>
  <si>
    <t>Capital Social</t>
  </si>
  <si>
    <t>Integralização</t>
  </si>
  <si>
    <t>Caixa e Bancos</t>
  </si>
  <si>
    <t>Receita de Honorários</t>
  </si>
  <si>
    <t>Pró-labore</t>
  </si>
  <si>
    <t>André</t>
  </si>
  <si>
    <t>Impostos e Contribuições</t>
  </si>
  <si>
    <t>Obrigações Fiscais (Simples, INSS)</t>
  </si>
  <si>
    <t>Simples</t>
  </si>
  <si>
    <t>INSS Patronal</t>
  </si>
  <si>
    <t>INSS Individual</t>
  </si>
  <si>
    <t>Reserva de Lucros</t>
  </si>
  <si>
    <t>Fundo</t>
  </si>
  <si>
    <t>Bruna</t>
  </si>
  <si>
    <t>Bruna - Pagamento</t>
  </si>
  <si>
    <t>Fundo de Reserva</t>
  </si>
  <si>
    <t>André - Pagamento</t>
  </si>
  <si>
    <t>Taiana Lopes</t>
  </si>
  <si>
    <t>DARF - INSS</t>
  </si>
  <si>
    <t>Lucro Retirado - Caixinha Nubank</t>
  </si>
  <si>
    <t>10% do Mês de Julho + Lucro da Caixinha</t>
  </si>
  <si>
    <t>10% do Mês de Agosto</t>
  </si>
  <si>
    <t>Código</t>
  </si>
  <si>
    <t>Conta contábil</t>
  </si>
  <si>
    <t>Natureza</t>
  </si>
  <si>
    <t>Débito</t>
  </si>
  <si>
    <t>Crédito</t>
  </si>
  <si>
    <t>1.1</t>
  </si>
  <si>
    <t>Ativo</t>
  </si>
  <si>
    <t>Circulante</t>
  </si>
  <si>
    <t>1.2</t>
  </si>
  <si>
    <t>Clientes (honorários a receber)</t>
  </si>
  <si>
    <t>Passivo</t>
  </si>
  <si>
    <t>1.3</t>
  </si>
  <si>
    <t>Adiantamentos a sócios</t>
  </si>
  <si>
    <t>Fornecedores / Contas a pagar</t>
  </si>
  <si>
    <t>Receita</t>
  </si>
  <si>
    <t>1.4</t>
  </si>
  <si>
    <t>Despesa</t>
  </si>
  <si>
    <t>2.1</t>
  </si>
  <si>
    <t>2.2</t>
  </si>
  <si>
    <t>2.3</t>
  </si>
  <si>
    <t>3.1</t>
  </si>
  <si>
    <t>Patrimônio Líquido</t>
  </si>
  <si>
    <t>Permanente</t>
  </si>
  <si>
    <t>3.2</t>
  </si>
  <si>
    <t>Lucros Distribuídos</t>
  </si>
  <si>
    <t>3.3</t>
  </si>
  <si>
    <t>3.4</t>
  </si>
  <si>
    <t>Despesas com Pessoal</t>
  </si>
  <si>
    <t>4.1</t>
  </si>
  <si>
    <t>Operacional</t>
  </si>
  <si>
    <t>Despesas Administrativas</t>
  </si>
  <si>
    <t>5.1</t>
  </si>
  <si>
    <t>5.2</t>
  </si>
  <si>
    <t>5.3</t>
  </si>
  <si>
    <t>SALDOS</t>
  </si>
  <si>
    <t>Conta</t>
  </si>
  <si>
    <t>Total Débito</t>
  </si>
  <si>
    <t>Total Crédito</t>
  </si>
  <si>
    <t>Saldo</t>
  </si>
  <si>
    <t>Classe</t>
  </si>
  <si>
    <t>Total do Ativo</t>
  </si>
  <si>
    <t>Total Passivo</t>
  </si>
  <si>
    <t>Total Passivo + PL</t>
  </si>
  <si>
    <t>PRÓ-LABORE E LUCRO LÍQUIDO ANDRÉ</t>
  </si>
  <si>
    <t>Nome</t>
  </si>
  <si>
    <t>Valor Bruto</t>
  </si>
  <si>
    <t>INSS (Pessoa)</t>
  </si>
  <si>
    <t>INSS (Patronal)</t>
  </si>
  <si>
    <t>IRPF</t>
  </si>
  <si>
    <t>Pró-Labore Líquido</t>
  </si>
  <si>
    <t>Lucro André (líquido)</t>
  </si>
  <si>
    <t>Administrador</t>
  </si>
  <si>
    <t>Associada</t>
  </si>
  <si>
    <t>Lucro do Fundo</t>
  </si>
  <si>
    <t>Receita Bruta</t>
  </si>
  <si>
    <t>Acumulado 12 em meses</t>
  </si>
  <si>
    <t>Alíquota (SN)%</t>
  </si>
  <si>
    <t>Alíquota Efetiva</t>
  </si>
  <si>
    <t>Dedução</t>
  </si>
  <si>
    <t>Imposto</t>
  </si>
  <si>
    <t>Lucro Líquido</t>
  </si>
  <si>
    <t>5% Administrador</t>
  </si>
  <si>
    <t>10% Fundo</t>
  </si>
  <si>
    <t>André Savio (Bruto)</t>
  </si>
  <si>
    <t>Lucro Final Anual</t>
  </si>
  <si>
    <t>Lucro Distribuído no Ano</t>
  </si>
  <si>
    <t>Entradas</t>
  </si>
  <si>
    <t>Acumulado</t>
  </si>
  <si>
    <t>Fundo Compensação</t>
  </si>
  <si>
    <t>Reserva de Capital</t>
  </si>
  <si>
    <t>Custo Anual Geral</t>
  </si>
  <si>
    <t>Tipo de Distribuição</t>
  </si>
  <si>
    <t>Percentual Distribuível</t>
  </si>
  <si>
    <t>Lucro Distribuível</t>
  </si>
  <si>
    <t>Reserva Após Distribuição</t>
  </si>
  <si>
    <t>Função</t>
  </si>
  <si>
    <t>Situação</t>
  </si>
  <si>
    <t>Percentual</t>
  </si>
  <si>
    <t>Lista de Situação</t>
  </si>
  <si>
    <t>Espécies de Despesa</t>
  </si>
  <si>
    <t>Tipo de Despesa</t>
  </si>
  <si>
    <t>Administrador/Capitalista</t>
  </si>
  <si>
    <t>Capitalista</t>
  </si>
  <si>
    <t>Aguardando OAB</t>
  </si>
  <si>
    <t>Luz</t>
  </si>
  <si>
    <t>Associado</t>
  </si>
  <si>
    <t>Avaliando</t>
  </si>
  <si>
    <t>Água</t>
  </si>
  <si>
    <t>Escritório</t>
  </si>
  <si>
    <t>Data Início</t>
  </si>
  <si>
    <t>Data Fim</t>
  </si>
  <si>
    <t>Nicole</t>
  </si>
  <si>
    <t>NOVO BRECHO E OUTLET</t>
  </si>
  <si>
    <t>Bianka</t>
  </si>
  <si>
    <t>Retirada da Bruna Leão em Nov/2025 (R$ 1.019,48) será repassada nestes percentuais:</t>
  </si>
  <si>
    <t>ASSOCIADA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</si>
</sst>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"/>
    <numFmt numFmtId="165" formatCode="[$-416]mmmm\-yy"/>
    <numFmt numFmtId="166" formatCode="d/m/yyyy"/>
    <numFmt numFmtId="167" formatCode="[$-416]mmm\-yy"/>
    <numFmt numFmtId="168" formatCode="_-&quot;R$&quot;\ * #,##0.00_-;\-&quot;R$&quot;\ * #,##0.00_-;_-&quot;R$&quot;\ * &quot;-&quot;??_-;_-@"/>
  </numFmts>
  <fonts count="7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11"/>
      <color rgb="FF000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FF5050"/>
        <bgColor rgb="FFFF5050"/>
      </patternFill>
    </fill>
    <fill>
      <patternFill patternType="solid">
        <fgColor rgb="FFFF0000"/>
        <bgColor rgb="FFFF0000"/>
      </patternFill>
    </fill>
    <fill>
      <patternFill patternType="solid">
        <fgColor rgb="FF95B3D7"/>
        <bgColor rgb="FF95B3D7"/>
      </patternFill>
    </fill>
    <fill>
      <patternFill patternType="solid">
        <fgColor rgb="FFB8CCE4"/>
        <bgColor rgb="FFB8CCE4"/>
      </patternFill>
    </fill>
    <fill>
      <patternFill patternType="solid">
        <fgColor rgb="FF548DD4"/>
        <bgColor rgb="FF548DD4"/>
      </patternFill>
    </fill>
    <fill>
      <patternFill patternType="solid">
        <fgColor rgb="FF99FF66"/>
        <bgColor rgb="FF99FF66"/>
      </patternFill>
    </fill>
    <fill>
      <patternFill patternType="solid">
        <fgColor rgb="FFFF7C80"/>
        <bgColor rgb="FFFF7C8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33CC33"/>
        <bgColor rgb="FF33CC33"/>
      </patternFill>
    </fill>
    <fill>
      <patternFill patternType="solid">
        <fgColor rgb="FFFFFF00"/>
        <bgColor rgb="FFFFFF00"/>
      </patternFill>
    </fill>
    <fill>
      <patternFill patternType="solid">
        <fgColor rgb="FF3399FF"/>
        <bgColor rgb="FF3399FF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14" fontId="3" fillId="0" borderId="0" xfId="0" applyNumberFormat="1" applyFont="1"/>
    <xf numFmtId="164" fontId="3" fillId="0" borderId="0" xfId="0" applyNumberFormat="1" applyFont="1"/>
    <xf numFmtId="9" fontId="3" fillId="0" borderId="0" xfId="0" applyNumberFormat="1" applyFont="1"/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/>
    <xf numFmtId="0" fontId="3" fillId="4" borderId="2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5" fillId="7" borderId="2" xfId="0" applyFont="1" applyFill="1" applyBorder="1"/>
    <xf numFmtId="164" fontId="5" fillId="7" borderId="2" xfId="0" applyNumberFormat="1" applyFont="1" applyFill="1" applyBorder="1"/>
    <xf numFmtId="166" fontId="2" fillId="0" borderId="0" xfId="0" applyNumberFormat="1" applyFont="1"/>
    <xf numFmtId="0" fontId="5" fillId="8" borderId="2" xfId="0" applyFont="1" applyFill="1" applyBorder="1"/>
    <xf numFmtId="0" fontId="5" fillId="9" borderId="2" xfId="0" applyFont="1" applyFill="1" applyBorder="1"/>
    <xf numFmtId="0" fontId="3" fillId="10" borderId="2" xfId="0" applyFont="1" applyFill="1" applyBorder="1"/>
    <xf numFmtId="164" fontId="3" fillId="10" borderId="2" xfId="0" applyNumberFormat="1" applyFont="1" applyFill="1" applyBorder="1"/>
    <xf numFmtId="0" fontId="6" fillId="10" borderId="2" xfId="0" applyFont="1" applyFill="1" applyBorder="1"/>
    <xf numFmtId="0" fontId="3" fillId="11" borderId="2" xfId="0" applyFont="1" applyFill="1" applyBorder="1"/>
    <xf numFmtId="164" fontId="3" fillId="11" borderId="2" xfId="0" applyNumberFormat="1" applyFont="1" applyFill="1" applyBorder="1"/>
    <xf numFmtId="0" fontId="6" fillId="11" borderId="2" xfId="0" applyFont="1" applyFill="1" applyBorder="1"/>
    <xf numFmtId="0" fontId="3" fillId="8" borderId="2" xfId="0" applyFont="1" applyFill="1" applyBorder="1"/>
    <xf numFmtId="164" fontId="3" fillId="8" borderId="2" xfId="0" applyNumberFormat="1" applyFont="1" applyFill="1" applyBorder="1"/>
    <xf numFmtId="0" fontId="3" fillId="12" borderId="2" xfId="0" applyFont="1" applyFill="1" applyBorder="1"/>
    <xf numFmtId="164" fontId="3" fillId="12" borderId="2" xfId="0" applyNumberFormat="1" applyFont="1" applyFill="1" applyBorder="1"/>
    <xf numFmtId="0" fontId="5" fillId="13" borderId="2" xfId="0" applyFont="1" applyFill="1" applyBorder="1"/>
    <xf numFmtId="0" fontId="1" fillId="14" borderId="3" xfId="0" applyFont="1" applyFill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13" borderId="2" xfId="0" applyFont="1" applyFill="1" applyBorder="1"/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168" fontId="3" fillId="0" borderId="0" xfId="0" applyNumberFormat="1" applyFont="1"/>
    <xf numFmtId="2" fontId="3" fillId="0" borderId="0" xfId="0" applyNumberFormat="1" applyFont="1"/>
    <xf numFmtId="0" fontId="1" fillId="14" borderId="2" xfId="0" applyFont="1" applyFill="1" applyBorder="1" applyAlignment="1">
      <alignment horizontal="center"/>
    </xf>
    <xf numFmtId="167" fontId="3" fillId="0" borderId="0" xfId="0" applyNumberFormat="1" applyFont="1"/>
    <xf numFmtId="0" fontId="1" fillId="3" borderId="2" xfId="0" applyFont="1" applyFill="1" applyBorder="1" applyAlignment="1">
      <alignment horizontal="center"/>
    </xf>
    <xf numFmtId="0" fontId="4" fillId="15" borderId="2" xfId="0" applyFont="1" applyFill="1" applyBorder="1"/>
    <xf numFmtId="0" fontId="4" fillId="14" borderId="2" xfId="0" applyFont="1" applyFill="1" applyBorder="1"/>
    <xf numFmtId="0" fontId="3" fillId="3" borderId="2" xfId="0" applyFont="1" applyFill="1" applyBorder="1"/>
    <xf numFmtId="168" fontId="3" fillId="3" borderId="2" xfId="0" applyNumberFormat="1" applyFont="1" applyFill="1" applyBorder="1"/>
    <xf numFmtId="0" fontId="3" fillId="16" borderId="2" xfId="0" applyFont="1" applyFill="1" applyBorder="1"/>
    <xf numFmtId="168" fontId="3" fillId="16" borderId="2" xfId="0" applyNumberFormat="1" applyFont="1" applyFill="1" applyBorder="1"/>
    <xf numFmtId="168" fontId="3" fillId="12" borderId="2" xfId="0" applyNumberFormat="1" applyFont="1" applyFill="1" applyBorder="1"/>
    <xf numFmtId="0" fontId="3" fillId="5" borderId="2" xfId="0" applyFont="1" applyFill="1" applyBorder="1"/>
    <xf numFmtId="168" fontId="3" fillId="5" borderId="2" xfId="0" applyNumberFormat="1" applyFont="1" applyFill="1" applyBorder="1"/>
    <xf numFmtId="0" fontId="3" fillId="14" borderId="2" xfId="0" applyFont="1" applyFill="1" applyBorder="1"/>
    <xf numFmtId="164" fontId="3" fillId="14" borderId="2" xfId="0" applyNumberFormat="1" applyFont="1" applyFill="1" applyBorder="1"/>
    <xf numFmtId="0" fontId="3" fillId="17" borderId="2" xfId="0" applyFont="1" applyFill="1" applyBorder="1"/>
    <xf numFmtId="164" fontId="3" fillId="17" borderId="2" xfId="0" applyNumberFormat="1" applyFont="1" applyFill="1" applyBorder="1"/>
    <xf numFmtId="0" fontId="1" fillId="18" borderId="2" xfId="0" applyFont="1" applyFill="1" applyBorder="1" applyAlignment="1">
      <alignment horizontal="center"/>
    </xf>
    <xf numFmtId="0" fontId="4" fillId="18" borderId="2" xfId="0" applyFont="1" applyFill="1" applyBorder="1" applyAlignment="1">
      <alignment horizontal="center"/>
    </xf>
    <xf numFmtId="0" fontId="4" fillId="18" borderId="2" xfId="0" applyFont="1" applyFill="1" applyBorder="1"/>
    <xf numFmtId="14" fontId="3" fillId="0" borderId="0" xfId="0" applyNumberFormat="1" applyFont="1" applyAlignment="1">
      <alignment horizontal="center"/>
    </xf>
    <xf numFmtId="0" fontId="0" fillId="0" borderId="2" xfId="0" applyBorder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Lucro Distribuível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21C-4788-9C64-DAEA307F5AC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Fundos!$D$1:$L$1</c:f>
              <c:strCache>
                <c:ptCount val="7"/>
                <c:pt idx="0">
                  <c:v>André</c:v>
                </c:pt>
                <c:pt idx="1">
                  <c:v>Bruna</c:v>
                </c:pt>
                <c:pt idx="2">
                  <c:v>Fernanda Canha</c:v>
                </c:pt>
                <c:pt idx="3">
                  <c:v>Nicole</c:v>
                </c:pt>
                <c:pt idx="4">
                  <c:v>Bianka Lima</c:v>
                </c:pt>
                <c:pt idx="5">
                  <c:v>Daniele</c:v>
                </c:pt>
                <c:pt idx="6">
                  <c:v>Luciane</c:v>
                </c:pt>
              </c:strCache>
            </c:strRef>
          </c:cat>
          <c:val>
            <c:numRef>
              <c:f>Fundos!$D$22:$L$22</c:f>
              <c:numCache>
                <c:formatCode>_-"R$"\ * #,##0.00_-;\-"R$"\ * #,##0.00_-;_-"R$"\ * "-"??_-;_-@</c:formatCode>
                <c:ptCount val="9"/>
                <c:pt idx="0">
                  <c:v>154.92528920499009</c:v>
                </c:pt>
                <c:pt idx="1">
                  <c:v>176.08280841346595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1C-4788-9C64-DAEA307F5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152400</xdr:rowOff>
    </xdr:from>
    <xdr:ext cx="8010525" cy="4057650"/>
    <xdr:graphicFrame macro="">
      <xdr:nvGraphicFramePr>
        <xdr:cNvPr id="2115691071" name="Chart 1">
          <a:extLst>
            <a:ext uri="{FF2B5EF4-FFF2-40B4-BE49-F238E27FC236}">
              <a16:creationId xmlns:a16="http://schemas.microsoft.com/office/drawing/2014/main" id="{00000000-0008-0000-0900-00003FE21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E6" sqref="E6"/>
    </sheetView>
  </sheetViews>
  <sheetFormatPr defaultColWidth="14.44140625" defaultRowHeight="15" customHeight="1" x14ac:dyDescent="0.3"/>
  <cols>
    <col min="1" max="1" width="21.88671875" customWidth="1"/>
    <col min="2" max="2" width="15" customWidth="1"/>
    <col min="3" max="3" width="21" customWidth="1"/>
    <col min="4" max="12" width="15" customWidth="1"/>
    <col min="13" max="26" width="8.6640625" customWidth="1"/>
  </cols>
  <sheetData>
    <row r="1" spans="1:12" ht="14.2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/>
      <c r="L1" s="3"/>
    </row>
    <row r="2" spans="1:12" ht="14.25" customHeight="1" x14ac:dyDescent="0.3">
      <c r="A2" s="4" t="s">
        <v>10</v>
      </c>
      <c r="B2" s="5">
        <v>45825</v>
      </c>
      <c r="C2" s="6">
        <v>1500</v>
      </c>
      <c r="D2" s="7">
        <v>0.5</v>
      </c>
      <c r="E2" s="7">
        <v>0.5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</row>
    <row r="3" spans="1:12" ht="14.25" customHeight="1" x14ac:dyDescent="0.3">
      <c r="A3" s="4" t="s">
        <v>11</v>
      </c>
      <c r="B3" s="5">
        <v>45869</v>
      </c>
      <c r="C3" s="6">
        <v>330</v>
      </c>
      <c r="D3" s="7">
        <v>1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</row>
    <row r="4" spans="1:12" ht="14.25" customHeight="1" x14ac:dyDescent="0.3">
      <c r="A4" s="4" t="s">
        <v>11</v>
      </c>
      <c r="B4" s="5">
        <v>45898</v>
      </c>
      <c r="C4" s="6">
        <v>330</v>
      </c>
      <c r="D4" s="7">
        <v>1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</row>
    <row r="5" spans="1:12" ht="14.25" customHeight="1" x14ac:dyDescent="0.3">
      <c r="A5" s="59" t="s">
        <v>150</v>
      </c>
      <c r="B5" s="5">
        <v>45966</v>
      </c>
      <c r="C5" s="6">
        <v>100</v>
      </c>
      <c r="D5" s="7">
        <v>0.5</v>
      </c>
      <c r="E5" s="7">
        <v>0.5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</row>
    <row r="6" spans="1:12" ht="14.25" customHeight="1" x14ac:dyDescent="0.3">
      <c r="A6" s="4" t="s">
        <v>12</v>
      </c>
      <c r="B6" s="5">
        <v>45971</v>
      </c>
      <c r="C6" s="6">
        <v>350</v>
      </c>
      <c r="D6" s="7">
        <v>0.25</v>
      </c>
      <c r="E6" s="7">
        <v>0.75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</row>
    <row r="7" spans="1:12" ht="14.25" customHeight="1" x14ac:dyDescent="0.3">
      <c r="A7" s="4" t="s">
        <v>12</v>
      </c>
      <c r="B7" s="5">
        <v>45971</v>
      </c>
      <c r="C7" s="6">
        <v>600</v>
      </c>
      <c r="D7" s="7">
        <v>0.1</v>
      </c>
      <c r="E7" s="7">
        <v>0.9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</row>
    <row r="8" spans="1:12" ht="14.25" customHeight="1" x14ac:dyDescent="0.3">
      <c r="A8" s="4" t="s">
        <v>12</v>
      </c>
      <c r="B8" s="5">
        <v>45971</v>
      </c>
      <c r="C8" s="6">
        <v>450</v>
      </c>
      <c r="D8" s="7">
        <v>0.1</v>
      </c>
      <c r="E8" s="7">
        <v>0.9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</row>
    <row r="9" spans="1:12" ht="14.25" customHeight="1" x14ac:dyDescent="0.3">
      <c r="A9" s="4" t="s">
        <v>12</v>
      </c>
      <c r="B9" s="5">
        <v>45971</v>
      </c>
      <c r="C9" s="6">
        <v>100</v>
      </c>
      <c r="D9" s="7">
        <v>0.5</v>
      </c>
      <c r="E9" s="7">
        <v>0.5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</row>
    <row r="10" spans="1:12" ht="14.25" customHeight="1" x14ac:dyDescent="0.3">
      <c r="B10" s="5">
        <v>45658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</row>
    <row r="11" spans="1:12" ht="14.25" customHeight="1" x14ac:dyDescent="0.3">
      <c r="B11" s="5">
        <v>45658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</row>
    <row r="12" spans="1:12" ht="14.25" customHeight="1" x14ac:dyDescent="0.3">
      <c r="B12" s="5">
        <v>45658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</row>
    <row r="13" spans="1:12" ht="14.25" customHeight="1" x14ac:dyDescent="0.3">
      <c r="B13" s="5">
        <v>45658</v>
      </c>
      <c r="C13" s="6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</row>
    <row r="14" spans="1:12" ht="14.25" customHeight="1" x14ac:dyDescent="0.3">
      <c r="B14" s="5">
        <v>45658</v>
      </c>
      <c r="C14" s="6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</row>
    <row r="15" spans="1:12" ht="14.25" customHeight="1" x14ac:dyDescent="0.3">
      <c r="D15" s="7"/>
      <c r="E15" s="7"/>
      <c r="F15" s="7"/>
      <c r="G15" s="7"/>
      <c r="H15" s="7"/>
      <c r="I15" s="7"/>
      <c r="J15" s="7"/>
      <c r="K15" s="7"/>
      <c r="L15" s="7"/>
    </row>
    <row r="16" spans="1:12" ht="14.25" customHeight="1" x14ac:dyDescent="0.3">
      <c r="D16" s="7"/>
      <c r="E16" s="7"/>
      <c r="F16" s="7"/>
      <c r="G16" s="7"/>
      <c r="H16" s="7"/>
      <c r="I16" s="7"/>
      <c r="J16" s="7"/>
      <c r="K16" s="7"/>
      <c r="L16" s="7"/>
    </row>
    <row r="17" spans="4:12" ht="14.25" customHeight="1" x14ac:dyDescent="0.3">
      <c r="D17" s="7"/>
      <c r="E17" s="7"/>
      <c r="F17" s="7"/>
      <c r="G17" s="7"/>
      <c r="H17" s="7"/>
      <c r="I17" s="7"/>
      <c r="J17" s="7"/>
      <c r="K17" s="7"/>
      <c r="L17" s="7"/>
    </row>
    <row r="18" spans="4:12" ht="14.25" customHeight="1" x14ac:dyDescent="0.3">
      <c r="D18" s="7"/>
      <c r="E18" s="7"/>
      <c r="F18" s="7"/>
      <c r="G18" s="7"/>
      <c r="H18" s="7"/>
      <c r="I18" s="7"/>
      <c r="J18" s="7"/>
      <c r="K18" s="7"/>
      <c r="L18" s="7"/>
    </row>
    <row r="19" spans="4:12" ht="14.25" customHeight="1" x14ac:dyDescent="0.3">
      <c r="D19" s="7"/>
      <c r="E19" s="7"/>
      <c r="F19" s="7"/>
      <c r="G19" s="7"/>
      <c r="H19" s="7"/>
      <c r="I19" s="7"/>
      <c r="J19" s="7"/>
      <c r="K19" s="7"/>
      <c r="L19" s="7"/>
    </row>
    <row r="20" spans="4:12" ht="14.25" customHeight="1" x14ac:dyDescent="0.3">
      <c r="D20" s="7"/>
      <c r="E20" s="7"/>
      <c r="F20" s="7"/>
      <c r="G20" s="7"/>
      <c r="H20" s="7"/>
      <c r="I20" s="7"/>
      <c r="J20" s="7"/>
      <c r="K20" s="7"/>
      <c r="L20" s="7"/>
    </row>
    <row r="21" spans="4:12" ht="14.25" customHeight="1" x14ac:dyDescent="0.3">
      <c r="D21" s="7"/>
      <c r="E21" s="7"/>
      <c r="F21" s="7"/>
      <c r="G21" s="7"/>
      <c r="H21" s="7"/>
      <c r="I21" s="7"/>
      <c r="J21" s="7"/>
      <c r="K21" s="7"/>
      <c r="L21" s="7"/>
    </row>
    <row r="22" spans="4:12" ht="14.25" customHeight="1" x14ac:dyDescent="0.3">
      <c r="D22" s="7"/>
      <c r="E22" s="7"/>
      <c r="F22" s="7"/>
      <c r="G22" s="7"/>
      <c r="H22" s="7"/>
      <c r="I22" s="7"/>
      <c r="J22" s="7"/>
      <c r="K22" s="7"/>
      <c r="L22" s="7"/>
    </row>
    <row r="23" spans="4:12" ht="14.25" customHeight="1" x14ac:dyDescent="0.3">
      <c r="D23" s="7"/>
      <c r="E23" s="7"/>
      <c r="F23" s="7"/>
      <c r="G23" s="7"/>
      <c r="H23" s="7"/>
      <c r="I23" s="7"/>
      <c r="J23" s="7"/>
      <c r="K23" s="7"/>
      <c r="L23" s="7"/>
    </row>
    <row r="24" spans="4:12" ht="14.25" customHeight="1" x14ac:dyDescent="0.3">
      <c r="D24" s="7"/>
      <c r="E24" s="7"/>
      <c r="F24" s="7"/>
      <c r="G24" s="7"/>
      <c r="H24" s="7"/>
      <c r="I24" s="7"/>
      <c r="J24" s="7"/>
      <c r="K24" s="7"/>
      <c r="L24" s="7"/>
    </row>
    <row r="25" spans="4:12" ht="14.25" customHeight="1" x14ac:dyDescent="0.3">
      <c r="D25" s="7"/>
      <c r="E25" s="7"/>
      <c r="F25" s="7"/>
      <c r="G25" s="7"/>
      <c r="H25" s="7"/>
      <c r="I25" s="7"/>
      <c r="J25" s="7"/>
      <c r="K25" s="7"/>
      <c r="L25" s="7"/>
    </row>
    <row r="26" spans="4:12" ht="14.25" customHeight="1" x14ac:dyDescent="0.3">
      <c r="D26" s="7"/>
      <c r="E26" s="7"/>
      <c r="F26" s="7"/>
      <c r="G26" s="7"/>
      <c r="H26" s="7"/>
      <c r="I26" s="7"/>
      <c r="J26" s="7"/>
      <c r="K26" s="7"/>
      <c r="L26" s="7"/>
    </row>
    <row r="27" spans="4:12" ht="14.25" customHeight="1" x14ac:dyDescent="0.3">
      <c r="D27" s="7"/>
      <c r="E27" s="7"/>
      <c r="F27" s="7"/>
      <c r="G27" s="7"/>
      <c r="H27" s="7"/>
      <c r="I27" s="7"/>
      <c r="J27" s="7"/>
      <c r="K27" s="7"/>
      <c r="L27" s="7"/>
    </row>
    <row r="28" spans="4:12" ht="14.25" customHeight="1" x14ac:dyDescent="0.3">
      <c r="D28" s="7"/>
      <c r="E28" s="7"/>
      <c r="F28" s="7"/>
      <c r="G28" s="7"/>
      <c r="H28" s="7"/>
      <c r="I28" s="7"/>
      <c r="J28" s="7"/>
      <c r="K28" s="7"/>
      <c r="L28" s="7"/>
    </row>
    <row r="29" spans="4:12" ht="14.25" customHeight="1" x14ac:dyDescent="0.3">
      <c r="D29" s="7"/>
      <c r="E29" s="7"/>
      <c r="F29" s="7"/>
      <c r="G29" s="7"/>
      <c r="H29" s="7"/>
      <c r="I29" s="7"/>
      <c r="J29" s="7"/>
      <c r="K29" s="7"/>
      <c r="L29" s="7"/>
    </row>
    <row r="30" spans="4:12" ht="14.25" customHeight="1" x14ac:dyDescent="0.3">
      <c r="D30" s="7"/>
      <c r="E30" s="7"/>
      <c r="F30" s="7"/>
      <c r="G30" s="7"/>
      <c r="H30" s="7"/>
      <c r="I30" s="7"/>
      <c r="J30" s="7"/>
      <c r="K30" s="7"/>
      <c r="L30" s="7"/>
    </row>
    <row r="31" spans="4:12" ht="14.25" customHeight="1" x14ac:dyDescent="0.3">
      <c r="D31" s="7"/>
      <c r="E31" s="7"/>
      <c r="F31" s="7"/>
      <c r="G31" s="7"/>
      <c r="H31" s="7"/>
      <c r="I31" s="7"/>
      <c r="J31" s="7"/>
      <c r="K31" s="7"/>
      <c r="L31" s="7"/>
    </row>
    <row r="32" spans="4:12" ht="14.25" customHeight="1" x14ac:dyDescent="0.3">
      <c r="D32" s="7"/>
      <c r="E32" s="7"/>
      <c r="F32" s="7"/>
      <c r="G32" s="7"/>
      <c r="H32" s="7"/>
      <c r="I32" s="7"/>
      <c r="J32" s="7"/>
      <c r="K32" s="7"/>
      <c r="L32" s="7"/>
    </row>
    <row r="33" spans="4:12" ht="14.25" customHeight="1" x14ac:dyDescent="0.3">
      <c r="D33" s="7"/>
      <c r="E33" s="7"/>
      <c r="F33" s="7"/>
      <c r="G33" s="7"/>
      <c r="H33" s="7"/>
      <c r="I33" s="7"/>
      <c r="J33" s="7"/>
      <c r="K33" s="7"/>
      <c r="L33" s="7"/>
    </row>
    <row r="34" spans="4:12" ht="14.25" customHeight="1" x14ac:dyDescent="0.3">
      <c r="D34" s="7"/>
      <c r="E34" s="7"/>
      <c r="F34" s="7"/>
      <c r="G34" s="7"/>
      <c r="H34" s="7"/>
      <c r="I34" s="7"/>
      <c r="J34" s="7"/>
      <c r="K34" s="7"/>
      <c r="L34" s="7"/>
    </row>
    <row r="35" spans="4:12" ht="14.25" customHeight="1" x14ac:dyDescent="0.3">
      <c r="D35" s="7"/>
      <c r="E35" s="7"/>
      <c r="F35" s="7"/>
      <c r="G35" s="7"/>
      <c r="H35" s="7"/>
      <c r="I35" s="7"/>
      <c r="J35" s="7"/>
      <c r="K35" s="7"/>
      <c r="L35" s="7"/>
    </row>
    <row r="36" spans="4:12" ht="14.25" customHeight="1" x14ac:dyDescent="0.3">
      <c r="D36" s="7"/>
      <c r="E36" s="7"/>
      <c r="F36" s="7"/>
      <c r="G36" s="7"/>
      <c r="H36" s="7"/>
      <c r="I36" s="7"/>
      <c r="J36" s="7"/>
      <c r="K36" s="7"/>
      <c r="L36" s="7"/>
    </row>
    <row r="37" spans="4:12" ht="14.25" customHeight="1" x14ac:dyDescent="0.3">
      <c r="D37" s="7"/>
      <c r="E37" s="7"/>
      <c r="F37" s="7"/>
      <c r="G37" s="7"/>
      <c r="H37" s="7"/>
      <c r="I37" s="7"/>
      <c r="J37" s="7"/>
      <c r="K37" s="7"/>
      <c r="L37" s="7"/>
    </row>
    <row r="38" spans="4:12" ht="14.25" customHeight="1" x14ac:dyDescent="0.3">
      <c r="D38" s="7"/>
      <c r="E38" s="7"/>
      <c r="F38" s="7"/>
      <c r="G38" s="7"/>
      <c r="H38" s="7"/>
      <c r="I38" s="7"/>
      <c r="J38" s="7"/>
      <c r="K38" s="7"/>
      <c r="L38" s="7"/>
    </row>
    <row r="39" spans="4:12" ht="14.25" customHeight="1" x14ac:dyDescent="0.3">
      <c r="D39" s="7"/>
      <c r="E39" s="7"/>
      <c r="F39" s="7"/>
      <c r="G39" s="7"/>
      <c r="H39" s="7"/>
      <c r="I39" s="7"/>
      <c r="J39" s="7"/>
      <c r="K39" s="7"/>
      <c r="L39" s="7"/>
    </row>
    <row r="40" spans="4:12" ht="14.25" customHeight="1" x14ac:dyDescent="0.3">
      <c r="D40" s="7"/>
      <c r="E40" s="7"/>
      <c r="F40" s="7"/>
      <c r="G40" s="7"/>
      <c r="H40" s="7"/>
      <c r="I40" s="7"/>
      <c r="J40" s="7"/>
      <c r="K40" s="7"/>
      <c r="L40" s="7"/>
    </row>
    <row r="41" spans="4:12" ht="14.25" customHeight="1" x14ac:dyDescent="0.3">
      <c r="D41" s="7"/>
      <c r="E41" s="7"/>
      <c r="F41" s="7"/>
      <c r="G41" s="7"/>
      <c r="H41" s="7"/>
      <c r="I41" s="7"/>
      <c r="J41" s="7"/>
      <c r="K41" s="7"/>
      <c r="L41" s="7"/>
    </row>
    <row r="42" spans="4:12" ht="14.25" customHeight="1" x14ac:dyDescent="0.3">
      <c r="D42" s="7"/>
      <c r="E42" s="7"/>
      <c r="F42" s="7"/>
      <c r="G42" s="7"/>
      <c r="H42" s="7"/>
      <c r="I42" s="7"/>
      <c r="J42" s="7"/>
      <c r="K42" s="7"/>
      <c r="L42" s="7"/>
    </row>
    <row r="43" spans="4:12" ht="14.25" customHeight="1" x14ac:dyDescent="0.3">
      <c r="D43" s="7"/>
      <c r="E43" s="7"/>
      <c r="F43" s="7"/>
      <c r="G43" s="7"/>
      <c r="H43" s="7"/>
      <c r="I43" s="7"/>
      <c r="J43" s="7"/>
      <c r="K43" s="7"/>
      <c r="L43" s="7"/>
    </row>
    <row r="44" spans="4:12" ht="14.25" customHeight="1" x14ac:dyDescent="0.3">
      <c r="D44" s="7"/>
      <c r="E44" s="7"/>
      <c r="F44" s="7"/>
      <c r="G44" s="7"/>
      <c r="H44" s="7"/>
      <c r="I44" s="7"/>
      <c r="J44" s="7"/>
      <c r="K44" s="7"/>
      <c r="L44" s="7"/>
    </row>
    <row r="45" spans="4:12" ht="14.25" customHeight="1" x14ac:dyDescent="0.3">
      <c r="D45" s="7"/>
      <c r="E45" s="7"/>
      <c r="F45" s="7"/>
      <c r="G45" s="7"/>
      <c r="H45" s="7"/>
      <c r="I45" s="7"/>
      <c r="J45" s="7"/>
      <c r="K45" s="7"/>
      <c r="L45" s="7"/>
    </row>
    <row r="46" spans="4:12" ht="14.25" customHeight="1" x14ac:dyDescent="0.3">
      <c r="D46" s="7"/>
      <c r="E46" s="7"/>
      <c r="F46" s="7"/>
      <c r="G46" s="7"/>
      <c r="H46" s="7"/>
      <c r="I46" s="7"/>
      <c r="J46" s="7"/>
      <c r="K46" s="7"/>
      <c r="L46" s="7"/>
    </row>
    <row r="47" spans="4:12" ht="14.25" customHeight="1" x14ac:dyDescent="0.3">
      <c r="D47" s="7"/>
      <c r="E47" s="7"/>
      <c r="F47" s="7"/>
      <c r="G47" s="7"/>
      <c r="H47" s="7"/>
      <c r="I47" s="7"/>
      <c r="J47" s="7"/>
      <c r="K47" s="7"/>
      <c r="L47" s="7"/>
    </row>
    <row r="48" spans="4:12" ht="14.25" customHeight="1" x14ac:dyDescent="0.3">
      <c r="D48" s="7"/>
      <c r="E48" s="7"/>
      <c r="F48" s="7"/>
      <c r="G48" s="7"/>
      <c r="H48" s="7"/>
      <c r="I48" s="7"/>
      <c r="J48" s="7"/>
      <c r="K48" s="7"/>
      <c r="L48" s="7"/>
    </row>
    <row r="49" spans="4:12" ht="14.25" customHeight="1" x14ac:dyDescent="0.3">
      <c r="D49" s="7"/>
      <c r="E49" s="7"/>
      <c r="F49" s="7"/>
      <c r="G49" s="7"/>
      <c r="H49" s="7"/>
      <c r="I49" s="7"/>
      <c r="J49" s="7"/>
      <c r="K49" s="7"/>
      <c r="L49" s="7"/>
    </row>
    <row r="50" spans="4:12" ht="14.25" customHeight="1" x14ac:dyDescent="0.3">
      <c r="D50" s="7"/>
      <c r="E50" s="7"/>
      <c r="F50" s="7"/>
      <c r="G50" s="7"/>
      <c r="H50" s="7"/>
      <c r="I50" s="7"/>
      <c r="J50" s="7"/>
      <c r="K50" s="7"/>
      <c r="L50" s="7"/>
    </row>
    <row r="51" spans="4:12" ht="14.25" customHeight="1" x14ac:dyDescent="0.3">
      <c r="D51" s="7"/>
      <c r="E51" s="7"/>
      <c r="F51" s="7"/>
      <c r="G51" s="7"/>
      <c r="H51" s="7"/>
      <c r="I51" s="7"/>
      <c r="J51" s="7"/>
      <c r="K51" s="7"/>
      <c r="L51" s="7"/>
    </row>
    <row r="52" spans="4:12" ht="14.25" customHeight="1" x14ac:dyDescent="0.3">
      <c r="D52" s="7"/>
      <c r="E52" s="7"/>
      <c r="F52" s="7"/>
      <c r="G52" s="7"/>
      <c r="H52" s="7"/>
      <c r="I52" s="7"/>
      <c r="J52" s="7"/>
      <c r="K52" s="7"/>
      <c r="L52" s="7"/>
    </row>
    <row r="53" spans="4:12" ht="14.25" customHeight="1" x14ac:dyDescent="0.3">
      <c r="D53" s="7"/>
      <c r="E53" s="7"/>
      <c r="F53" s="7"/>
      <c r="G53" s="7"/>
      <c r="H53" s="7"/>
      <c r="I53" s="7"/>
      <c r="J53" s="7"/>
      <c r="K53" s="7"/>
      <c r="L53" s="7"/>
    </row>
    <row r="54" spans="4:12" ht="14.25" customHeight="1" x14ac:dyDescent="0.3">
      <c r="D54" s="7"/>
      <c r="E54" s="7"/>
      <c r="F54" s="7"/>
      <c r="G54" s="7"/>
      <c r="H54" s="7"/>
      <c r="I54" s="7"/>
      <c r="J54" s="7"/>
      <c r="K54" s="7"/>
      <c r="L54" s="7"/>
    </row>
    <row r="55" spans="4:12" ht="14.25" customHeight="1" x14ac:dyDescent="0.3">
      <c r="D55" s="7"/>
      <c r="E55" s="7"/>
      <c r="F55" s="7"/>
      <c r="G55" s="7"/>
      <c r="H55" s="7"/>
      <c r="I55" s="7"/>
      <c r="J55" s="7"/>
      <c r="K55" s="7"/>
      <c r="L55" s="7"/>
    </row>
    <row r="56" spans="4:12" ht="14.25" customHeight="1" x14ac:dyDescent="0.3">
      <c r="D56" s="7"/>
      <c r="E56" s="7"/>
      <c r="F56" s="7"/>
      <c r="G56" s="7"/>
      <c r="H56" s="7"/>
      <c r="I56" s="7"/>
      <c r="J56" s="7"/>
      <c r="K56" s="7"/>
      <c r="L56" s="7"/>
    </row>
    <row r="57" spans="4:12" ht="14.25" customHeight="1" x14ac:dyDescent="0.3">
      <c r="D57" s="7"/>
      <c r="E57" s="7"/>
      <c r="F57" s="7"/>
      <c r="G57" s="7"/>
      <c r="H57" s="7"/>
      <c r="I57" s="7"/>
      <c r="J57" s="7"/>
      <c r="K57" s="7"/>
      <c r="L57" s="7"/>
    </row>
    <row r="58" spans="4:12" ht="14.25" customHeight="1" x14ac:dyDescent="0.3">
      <c r="D58" s="7"/>
      <c r="E58" s="7"/>
      <c r="F58" s="7"/>
      <c r="G58" s="7"/>
      <c r="H58" s="7"/>
      <c r="I58" s="7"/>
      <c r="J58" s="7"/>
      <c r="K58" s="7"/>
      <c r="L58" s="7"/>
    </row>
    <row r="59" spans="4:12" ht="14.25" customHeight="1" x14ac:dyDescent="0.3">
      <c r="D59" s="7"/>
      <c r="E59" s="7"/>
      <c r="F59" s="7"/>
      <c r="G59" s="7"/>
      <c r="H59" s="7"/>
      <c r="I59" s="7"/>
      <c r="J59" s="7"/>
      <c r="K59" s="7"/>
      <c r="L59" s="7"/>
    </row>
    <row r="60" spans="4:12" ht="14.25" customHeight="1" x14ac:dyDescent="0.3">
      <c r="D60" s="7"/>
      <c r="E60" s="7"/>
      <c r="F60" s="7"/>
      <c r="G60" s="7"/>
      <c r="H60" s="7"/>
      <c r="I60" s="7"/>
      <c r="J60" s="7"/>
      <c r="K60" s="7"/>
      <c r="L60" s="7"/>
    </row>
    <row r="61" spans="4:12" ht="14.25" customHeight="1" x14ac:dyDescent="0.3">
      <c r="D61" s="7"/>
      <c r="E61" s="7"/>
      <c r="F61" s="7"/>
      <c r="G61" s="7"/>
      <c r="H61" s="7"/>
      <c r="I61" s="7"/>
      <c r="J61" s="7"/>
      <c r="K61" s="7"/>
      <c r="L61" s="7"/>
    </row>
    <row r="62" spans="4:12" ht="14.25" customHeight="1" x14ac:dyDescent="0.3">
      <c r="D62" s="7"/>
      <c r="E62" s="7"/>
      <c r="F62" s="7"/>
      <c r="G62" s="7"/>
      <c r="H62" s="7"/>
      <c r="I62" s="7"/>
      <c r="J62" s="7"/>
      <c r="K62" s="7"/>
      <c r="L62" s="7"/>
    </row>
    <row r="63" spans="4:12" ht="14.25" customHeight="1" x14ac:dyDescent="0.3">
      <c r="D63" s="7"/>
      <c r="E63" s="7"/>
      <c r="F63" s="7"/>
      <c r="G63" s="7"/>
      <c r="H63" s="7"/>
      <c r="I63" s="7"/>
      <c r="J63" s="7"/>
      <c r="K63" s="7"/>
      <c r="L63" s="7"/>
    </row>
    <row r="64" spans="4:12" ht="14.25" customHeight="1" x14ac:dyDescent="0.3">
      <c r="D64" s="7"/>
      <c r="E64" s="7"/>
      <c r="F64" s="7"/>
      <c r="G64" s="7"/>
      <c r="H64" s="7"/>
      <c r="I64" s="7"/>
      <c r="J64" s="7"/>
      <c r="K64" s="7"/>
      <c r="L64" s="7"/>
    </row>
    <row r="65" spans="4:12" ht="14.25" customHeight="1" x14ac:dyDescent="0.3">
      <c r="D65" s="7"/>
      <c r="E65" s="7"/>
      <c r="F65" s="7"/>
      <c r="G65" s="7"/>
      <c r="H65" s="7"/>
      <c r="I65" s="7"/>
      <c r="J65" s="7"/>
      <c r="K65" s="7"/>
      <c r="L65" s="7"/>
    </row>
    <row r="66" spans="4:12" ht="14.25" customHeight="1" x14ac:dyDescent="0.3">
      <c r="D66" s="7"/>
      <c r="E66" s="7"/>
      <c r="F66" s="7"/>
      <c r="G66" s="7"/>
      <c r="H66" s="7"/>
      <c r="I66" s="7"/>
      <c r="J66" s="7"/>
      <c r="K66" s="7"/>
      <c r="L66" s="7"/>
    </row>
    <row r="67" spans="4:12" ht="14.25" customHeight="1" x14ac:dyDescent="0.3">
      <c r="D67" s="7"/>
      <c r="E67" s="7"/>
      <c r="F67" s="7"/>
      <c r="G67" s="7"/>
      <c r="H67" s="7"/>
      <c r="I67" s="7"/>
      <c r="J67" s="7"/>
      <c r="K67" s="7"/>
      <c r="L67" s="7"/>
    </row>
    <row r="68" spans="4:12" ht="14.25" customHeight="1" x14ac:dyDescent="0.3">
      <c r="D68" s="7"/>
      <c r="E68" s="7"/>
      <c r="F68" s="7"/>
      <c r="G68" s="7"/>
      <c r="H68" s="7"/>
      <c r="I68" s="7"/>
      <c r="J68" s="7"/>
      <c r="K68" s="7"/>
      <c r="L68" s="7"/>
    </row>
    <row r="69" spans="4:12" ht="14.25" customHeight="1" x14ac:dyDescent="0.3">
      <c r="D69" s="7"/>
      <c r="E69" s="7"/>
      <c r="F69" s="7"/>
      <c r="G69" s="7"/>
      <c r="H69" s="7"/>
      <c r="I69" s="7"/>
      <c r="J69" s="7"/>
      <c r="K69" s="7"/>
      <c r="L69" s="7"/>
    </row>
    <row r="70" spans="4:12" ht="14.25" customHeight="1" x14ac:dyDescent="0.3">
      <c r="D70" s="7"/>
      <c r="E70" s="7"/>
      <c r="F70" s="7"/>
      <c r="G70" s="7"/>
      <c r="H70" s="7"/>
      <c r="I70" s="7"/>
      <c r="J70" s="7"/>
      <c r="K70" s="7"/>
      <c r="L70" s="7"/>
    </row>
    <row r="71" spans="4:12" ht="14.25" customHeight="1" x14ac:dyDescent="0.3">
      <c r="D71" s="7"/>
      <c r="E71" s="7"/>
      <c r="F71" s="7"/>
      <c r="G71" s="7"/>
      <c r="H71" s="7"/>
      <c r="I71" s="7"/>
      <c r="J71" s="7"/>
      <c r="K71" s="7"/>
      <c r="L71" s="7"/>
    </row>
    <row r="72" spans="4:12" ht="14.25" customHeight="1" x14ac:dyDescent="0.3">
      <c r="D72" s="7"/>
      <c r="E72" s="7"/>
      <c r="F72" s="7"/>
      <c r="G72" s="7"/>
      <c r="H72" s="7"/>
      <c r="I72" s="7"/>
      <c r="J72" s="7"/>
      <c r="K72" s="7"/>
      <c r="L72" s="7"/>
    </row>
    <row r="73" spans="4:12" ht="14.25" customHeight="1" x14ac:dyDescent="0.3">
      <c r="D73" s="7"/>
      <c r="E73" s="7"/>
      <c r="F73" s="7"/>
      <c r="G73" s="7"/>
      <c r="H73" s="7"/>
      <c r="I73" s="7"/>
      <c r="J73" s="7"/>
      <c r="K73" s="7"/>
      <c r="L73" s="7"/>
    </row>
    <row r="74" spans="4:12" ht="14.25" customHeight="1" x14ac:dyDescent="0.3">
      <c r="D74" s="7"/>
      <c r="E74" s="7"/>
      <c r="F74" s="7"/>
      <c r="G74" s="7"/>
      <c r="H74" s="7"/>
      <c r="I74" s="7"/>
      <c r="J74" s="7"/>
      <c r="K74" s="7"/>
      <c r="L74" s="7"/>
    </row>
    <row r="75" spans="4:12" ht="14.25" customHeight="1" x14ac:dyDescent="0.3">
      <c r="D75" s="7"/>
      <c r="E75" s="7"/>
      <c r="F75" s="7"/>
      <c r="G75" s="7"/>
      <c r="H75" s="7"/>
      <c r="I75" s="7"/>
      <c r="J75" s="7"/>
      <c r="K75" s="7"/>
      <c r="L75" s="7"/>
    </row>
    <row r="76" spans="4:12" ht="14.25" customHeight="1" x14ac:dyDescent="0.3">
      <c r="D76" s="7"/>
      <c r="E76" s="7"/>
      <c r="F76" s="7"/>
      <c r="G76" s="7"/>
      <c r="H76" s="7"/>
      <c r="I76" s="7"/>
      <c r="J76" s="7"/>
      <c r="K76" s="7"/>
      <c r="L76" s="7"/>
    </row>
    <row r="77" spans="4:12" ht="14.25" customHeight="1" x14ac:dyDescent="0.3">
      <c r="D77" s="7"/>
      <c r="E77" s="7"/>
      <c r="F77" s="7"/>
      <c r="G77" s="7"/>
      <c r="H77" s="7"/>
      <c r="I77" s="7"/>
      <c r="J77" s="7"/>
      <c r="K77" s="7"/>
      <c r="L77" s="7"/>
    </row>
    <row r="78" spans="4:12" ht="14.25" customHeight="1" x14ac:dyDescent="0.3">
      <c r="D78" s="7"/>
      <c r="E78" s="7"/>
      <c r="F78" s="7"/>
      <c r="G78" s="7"/>
      <c r="H78" s="7"/>
      <c r="I78" s="7"/>
      <c r="J78" s="7"/>
      <c r="K78" s="7"/>
      <c r="L78" s="7"/>
    </row>
    <row r="79" spans="4:12" ht="14.25" customHeight="1" x14ac:dyDescent="0.3">
      <c r="D79" s="7"/>
      <c r="E79" s="7"/>
      <c r="F79" s="7"/>
      <c r="G79" s="7"/>
      <c r="H79" s="7"/>
      <c r="I79" s="7"/>
      <c r="J79" s="7"/>
      <c r="K79" s="7"/>
      <c r="L79" s="7"/>
    </row>
    <row r="80" spans="4:12" ht="14.25" customHeight="1" x14ac:dyDescent="0.3">
      <c r="D80" s="7"/>
      <c r="E80" s="7"/>
      <c r="F80" s="7"/>
      <c r="G80" s="7"/>
      <c r="H80" s="7"/>
      <c r="I80" s="7"/>
      <c r="J80" s="7"/>
      <c r="K80" s="7"/>
      <c r="L80" s="7"/>
    </row>
    <row r="81" spans="4:12" ht="14.25" customHeight="1" x14ac:dyDescent="0.3">
      <c r="D81" s="7"/>
      <c r="E81" s="7"/>
      <c r="F81" s="7"/>
      <c r="G81" s="7"/>
      <c r="H81" s="7"/>
      <c r="I81" s="7"/>
      <c r="J81" s="7"/>
      <c r="K81" s="7"/>
      <c r="L81" s="7"/>
    </row>
    <row r="82" spans="4:12" ht="14.25" customHeight="1" x14ac:dyDescent="0.3">
      <c r="D82" s="7"/>
      <c r="E82" s="7"/>
      <c r="F82" s="7"/>
      <c r="G82" s="7"/>
      <c r="H82" s="7"/>
      <c r="I82" s="7"/>
      <c r="J82" s="7"/>
      <c r="K82" s="7"/>
      <c r="L82" s="7"/>
    </row>
    <row r="83" spans="4:12" ht="14.25" customHeight="1" x14ac:dyDescent="0.3">
      <c r="D83" s="7"/>
      <c r="E83" s="7"/>
      <c r="F83" s="7"/>
      <c r="G83" s="7"/>
      <c r="H83" s="7"/>
      <c r="I83" s="7"/>
      <c r="J83" s="7"/>
      <c r="K83" s="7"/>
      <c r="L83" s="7"/>
    </row>
    <row r="84" spans="4:12" ht="14.25" customHeight="1" x14ac:dyDescent="0.3">
      <c r="D84" s="7"/>
      <c r="E84" s="7"/>
      <c r="F84" s="7"/>
      <c r="G84" s="7"/>
      <c r="H84" s="7"/>
      <c r="I84" s="7"/>
      <c r="J84" s="7"/>
      <c r="K84" s="7"/>
      <c r="L84" s="7"/>
    </row>
    <row r="85" spans="4:12" ht="14.25" customHeight="1" x14ac:dyDescent="0.3">
      <c r="D85" s="7"/>
      <c r="E85" s="7"/>
      <c r="F85" s="7"/>
      <c r="G85" s="7"/>
      <c r="H85" s="7"/>
      <c r="I85" s="7"/>
      <c r="J85" s="7"/>
      <c r="K85" s="7"/>
      <c r="L85" s="7"/>
    </row>
    <row r="86" spans="4:12" ht="14.25" customHeight="1" x14ac:dyDescent="0.3">
      <c r="D86" s="7"/>
      <c r="E86" s="7"/>
      <c r="F86" s="7"/>
      <c r="G86" s="7"/>
      <c r="H86" s="7"/>
      <c r="I86" s="7"/>
      <c r="J86" s="7"/>
      <c r="K86" s="7"/>
      <c r="L86" s="7"/>
    </row>
    <row r="87" spans="4:12" ht="14.25" customHeight="1" x14ac:dyDescent="0.3">
      <c r="D87" s="7"/>
      <c r="E87" s="7"/>
      <c r="F87" s="7"/>
      <c r="G87" s="7"/>
      <c r="H87" s="7"/>
      <c r="I87" s="7"/>
      <c r="J87" s="7"/>
      <c r="K87" s="7"/>
      <c r="L87" s="7"/>
    </row>
    <row r="88" spans="4:12" ht="14.25" customHeight="1" x14ac:dyDescent="0.3">
      <c r="D88" s="7"/>
      <c r="E88" s="7"/>
      <c r="F88" s="7"/>
      <c r="G88" s="7"/>
      <c r="H88" s="7"/>
      <c r="I88" s="7"/>
      <c r="J88" s="7"/>
      <c r="K88" s="7"/>
      <c r="L88" s="7"/>
    </row>
    <row r="89" spans="4:12" ht="14.25" customHeight="1" x14ac:dyDescent="0.3">
      <c r="D89" s="7"/>
      <c r="E89" s="7"/>
      <c r="F89" s="7"/>
      <c r="G89" s="7"/>
      <c r="H89" s="7"/>
      <c r="I89" s="7"/>
      <c r="J89" s="7"/>
      <c r="K89" s="7"/>
      <c r="L89" s="7"/>
    </row>
    <row r="90" spans="4:12" ht="14.25" customHeight="1" x14ac:dyDescent="0.3">
      <c r="D90" s="7"/>
      <c r="E90" s="7"/>
      <c r="F90" s="7"/>
      <c r="G90" s="7"/>
      <c r="H90" s="7"/>
      <c r="I90" s="7"/>
      <c r="J90" s="7"/>
      <c r="K90" s="7"/>
      <c r="L90" s="7"/>
    </row>
    <row r="91" spans="4:12" ht="14.25" customHeight="1" x14ac:dyDescent="0.3">
      <c r="D91" s="7"/>
      <c r="E91" s="7"/>
      <c r="F91" s="7"/>
      <c r="G91" s="7"/>
      <c r="H91" s="7"/>
      <c r="I91" s="7"/>
      <c r="J91" s="7"/>
      <c r="K91" s="7"/>
      <c r="L91" s="7"/>
    </row>
    <row r="92" spans="4:12" ht="14.25" customHeight="1" x14ac:dyDescent="0.3">
      <c r="D92" s="7"/>
      <c r="E92" s="7"/>
      <c r="F92" s="7"/>
      <c r="G92" s="7"/>
      <c r="H92" s="7"/>
      <c r="I92" s="7"/>
      <c r="J92" s="7"/>
      <c r="K92" s="7"/>
      <c r="L92" s="7"/>
    </row>
    <row r="93" spans="4:12" ht="14.25" customHeight="1" x14ac:dyDescent="0.3">
      <c r="D93" s="7"/>
      <c r="E93" s="7"/>
      <c r="F93" s="7"/>
      <c r="G93" s="7"/>
      <c r="H93" s="7"/>
      <c r="I93" s="7"/>
      <c r="J93" s="7"/>
      <c r="K93" s="7"/>
      <c r="L93" s="7"/>
    </row>
    <row r="94" spans="4:12" ht="14.25" customHeight="1" x14ac:dyDescent="0.3">
      <c r="D94" s="7"/>
      <c r="E94" s="7"/>
      <c r="F94" s="7"/>
      <c r="G94" s="7"/>
      <c r="H94" s="7"/>
      <c r="I94" s="7"/>
      <c r="J94" s="7"/>
      <c r="K94" s="7"/>
      <c r="L94" s="7"/>
    </row>
    <row r="95" spans="4:12" ht="14.25" customHeight="1" x14ac:dyDescent="0.3">
      <c r="D95" s="7"/>
      <c r="E95" s="7"/>
      <c r="F95" s="7"/>
      <c r="G95" s="7"/>
      <c r="H95" s="7"/>
      <c r="I95" s="7"/>
      <c r="J95" s="7"/>
      <c r="K95" s="7"/>
      <c r="L95" s="7"/>
    </row>
    <row r="96" spans="4:12" ht="14.25" customHeight="1" x14ac:dyDescent="0.3">
      <c r="D96" s="7"/>
      <c r="E96" s="7"/>
      <c r="F96" s="7"/>
      <c r="G96" s="7"/>
      <c r="H96" s="7"/>
      <c r="I96" s="7"/>
      <c r="J96" s="7"/>
      <c r="K96" s="7"/>
      <c r="L96" s="7"/>
    </row>
    <row r="97" spans="4:12" ht="14.25" customHeight="1" x14ac:dyDescent="0.3">
      <c r="D97" s="7"/>
      <c r="E97" s="7"/>
      <c r="F97" s="7"/>
      <c r="G97" s="7"/>
      <c r="H97" s="7"/>
      <c r="I97" s="7"/>
      <c r="J97" s="7"/>
      <c r="K97" s="7"/>
      <c r="L97" s="7"/>
    </row>
    <row r="98" spans="4:12" ht="14.25" customHeight="1" x14ac:dyDescent="0.3">
      <c r="D98" s="7"/>
      <c r="E98" s="7"/>
      <c r="F98" s="7"/>
      <c r="G98" s="7"/>
      <c r="H98" s="7"/>
      <c r="I98" s="7"/>
      <c r="J98" s="7"/>
      <c r="K98" s="7"/>
      <c r="L98" s="7"/>
    </row>
    <row r="99" spans="4:12" ht="14.25" customHeight="1" x14ac:dyDescent="0.3">
      <c r="D99" s="7"/>
      <c r="E99" s="7"/>
      <c r="F99" s="7"/>
      <c r="G99" s="7"/>
      <c r="H99" s="7"/>
      <c r="I99" s="7"/>
      <c r="J99" s="7"/>
      <c r="K99" s="7"/>
      <c r="L99" s="7"/>
    </row>
    <row r="100" spans="4:12" ht="14.25" customHeight="1" x14ac:dyDescent="0.3">
      <c r="D100" s="7"/>
      <c r="E100" s="7"/>
      <c r="F100" s="7"/>
      <c r="G100" s="7"/>
      <c r="H100" s="7"/>
      <c r="I100" s="7"/>
      <c r="J100" s="7"/>
      <c r="K100" s="7"/>
      <c r="L100" s="7"/>
    </row>
    <row r="101" spans="4:12" ht="14.25" customHeight="1" x14ac:dyDescent="0.3">
      <c r="D101" s="7"/>
      <c r="E101" s="7"/>
      <c r="F101" s="7"/>
      <c r="G101" s="7"/>
      <c r="H101" s="7"/>
      <c r="I101" s="7"/>
      <c r="J101" s="7"/>
      <c r="K101" s="7"/>
      <c r="L101" s="7"/>
    </row>
    <row r="102" spans="4:12" ht="14.25" customHeight="1" x14ac:dyDescent="0.3">
      <c r="D102" s="7"/>
      <c r="E102" s="7"/>
      <c r="F102" s="7"/>
      <c r="G102" s="7"/>
      <c r="H102" s="7"/>
      <c r="I102" s="7"/>
      <c r="J102" s="7"/>
      <c r="K102" s="7"/>
      <c r="L102" s="7"/>
    </row>
    <row r="103" spans="4:12" ht="14.25" customHeight="1" x14ac:dyDescent="0.3">
      <c r="D103" s="7"/>
      <c r="E103" s="7"/>
      <c r="F103" s="7"/>
      <c r="G103" s="7"/>
      <c r="H103" s="7"/>
      <c r="I103" s="7"/>
      <c r="J103" s="7"/>
      <c r="K103" s="7"/>
      <c r="L103" s="7"/>
    </row>
    <row r="104" spans="4:12" ht="14.25" customHeight="1" x14ac:dyDescent="0.3">
      <c r="D104" s="7"/>
      <c r="E104" s="7"/>
      <c r="F104" s="7"/>
      <c r="G104" s="7"/>
      <c r="H104" s="7"/>
      <c r="I104" s="7"/>
      <c r="J104" s="7"/>
      <c r="K104" s="7"/>
      <c r="L104" s="7"/>
    </row>
    <row r="105" spans="4:12" ht="14.25" customHeight="1" x14ac:dyDescent="0.3">
      <c r="D105" s="7"/>
      <c r="E105" s="7"/>
      <c r="F105" s="7"/>
      <c r="G105" s="7"/>
      <c r="H105" s="7"/>
      <c r="I105" s="7"/>
      <c r="J105" s="7"/>
      <c r="K105" s="7"/>
      <c r="L105" s="7"/>
    </row>
    <row r="106" spans="4:12" ht="14.25" customHeight="1" x14ac:dyDescent="0.3">
      <c r="D106" s="7"/>
      <c r="E106" s="7"/>
      <c r="F106" s="7"/>
      <c r="G106" s="7"/>
      <c r="H106" s="7"/>
      <c r="I106" s="7"/>
      <c r="J106" s="7"/>
      <c r="K106" s="7"/>
      <c r="L106" s="7"/>
    </row>
    <row r="107" spans="4:12" ht="14.25" customHeight="1" x14ac:dyDescent="0.3">
      <c r="D107" s="7"/>
      <c r="E107" s="7"/>
      <c r="F107" s="7"/>
      <c r="G107" s="7"/>
      <c r="H107" s="7"/>
      <c r="I107" s="7"/>
      <c r="J107" s="7"/>
      <c r="K107" s="7"/>
      <c r="L107" s="7"/>
    </row>
    <row r="108" spans="4:12" ht="14.25" customHeight="1" x14ac:dyDescent="0.3">
      <c r="D108" s="7"/>
      <c r="E108" s="7"/>
      <c r="F108" s="7"/>
      <c r="G108" s="7"/>
      <c r="H108" s="7"/>
      <c r="I108" s="7"/>
      <c r="J108" s="7"/>
      <c r="K108" s="7"/>
      <c r="L108" s="7"/>
    </row>
    <row r="109" spans="4:12" ht="14.25" customHeight="1" x14ac:dyDescent="0.3">
      <c r="D109" s="7"/>
      <c r="E109" s="7"/>
      <c r="F109" s="7"/>
      <c r="G109" s="7"/>
      <c r="H109" s="7"/>
      <c r="I109" s="7"/>
      <c r="J109" s="7"/>
      <c r="K109" s="7"/>
      <c r="L109" s="7"/>
    </row>
    <row r="110" spans="4:12" ht="14.25" customHeight="1" x14ac:dyDescent="0.3">
      <c r="D110" s="7"/>
      <c r="E110" s="7"/>
      <c r="F110" s="7"/>
      <c r="G110" s="7"/>
      <c r="H110" s="7"/>
      <c r="I110" s="7"/>
      <c r="J110" s="7"/>
      <c r="K110" s="7"/>
      <c r="L110" s="7"/>
    </row>
    <row r="111" spans="4:12" ht="14.25" customHeight="1" x14ac:dyDescent="0.3">
      <c r="D111" s="7"/>
      <c r="E111" s="7"/>
      <c r="F111" s="7"/>
      <c r="G111" s="7"/>
      <c r="H111" s="7"/>
      <c r="I111" s="7"/>
      <c r="J111" s="7"/>
      <c r="K111" s="7"/>
      <c r="L111" s="7"/>
    </row>
    <row r="112" spans="4:12" ht="14.25" customHeight="1" x14ac:dyDescent="0.3">
      <c r="D112" s="7"/>
      <c r="E112" s="7"/>
      <c r="F112" s="7"/>
      <c r="G112" s="7"/>
      <c r="H112" s="7"/>
      <c r="I112" s="7"/>
      <c r="J112" s="7"/>
      <c r="K112" s="7"/>
      <c r="L112" s="7"/>
    </row>
    <row r="113" spans="4:12" ht="14.25" customHeight="1" x14ac:dyDescent="0.3">
      <c r="D113" s="7"/>
      <c r="E113" s="7"/>
      <c r="F113" s="7"/>
      <c r="G113" s="7"/>
      <c r="H113" s="7"/>
      <c r="I113" s="7"/>
      <c r="J113" s="7"/>
      <c r="K113" s="7"/>
      <c r="L113" s="7"/>
    </row>
    <row r="114" spans="4:12" ht="14.25" customHeight="1" x14ac:dyDescent="0.3">
      <c r="D114" s="7"/>
      <c r="E114" s="7"/>
      <c r="F114" s="7"/>
      <c r="G114" s="7"/>
      <c r="H114" s="7"/>
      <c r="I114" s="7"/>
      <c r="J114" s="7"/>
      <c r="K114" s="7"/>
      <c r="L114" s="7"/>
    </row>
    <row r="115" spans="4:12" ht="14.25" customHeight="1" x14ac:dyDescent="0.3">
      <c r="D115" s="7"/>
      <c r="E115" s="7"/>
      <c r="F115" s="7"/>
      <c r="G115" s="7"/>
      <c r="H115" s="7"/>
      <c r="I115" s="7"/>
      <c r="J115" s="7"/>
      <c r="K115" s="7"/>
      <c r="L115" s="7"/>
    </row>
    <row r="116" spans="4:12" ht="14.25" customHeight="1" x14ac:dyDescent="0.3">
      <c r="D116" s="7"/>
      <c r="E116" s="7"/>
      <c r="F116" s="7"/>
      <c r="G116" s="7"/>
      <c r="H116" s="7"/>
      <c r="I116" s="7"/>
      <c r="J116" s="7"/>
      <c r="K116" s="7"/>
      <c r="L116" s="7"/>
    </row>
    <row r="117" spans="4:12" ht="14.25" customHeight="1" x14ac:dyDescent="0.3">
      <c r="D117" s="7"/>
      <c r="E117" s="7"/>
      <c r="F117" s="7"/>
      <c r="G117" s="7"/>
      <c r="H117" s="7"/>
      <c r="I117" s="7"/>
      <c r="J117" s="7"/>
      <c r="K117" s="7"/>
      <c r="L117" s="7"/>
    </row>
    <row r="118" spans="4:12" ht="14.25" customHeight="1" x14ac:dyDescent="0.3">
      <c r="D118" s="7"/>
      <c r="E118" s="7"/>
      <c r="F118" s="7"/>
      <c r="G118" s="7"/>
      <c r="H118" s="7"/>
      <c r="I118" s="7"/>
      <c r="J118" s="7"/>
      <c r="K118" s="7"/>
      <c r="L118" s="7"/>
    </row>
    <row r="119" spans="4:12" ht="14.25" customHeight="1" x14ac:dyDescent="0.3">
      <c r="D119" s="7"/>
      <c r="E119" s="7"/>
      <c r="F119" s="7"/>
      <c r="G119" s="7"/>
      <c r="H119" s="7"/>
      <c r="I119" s="7"/>
      <c r="J119" s="7"/>
      <c r="K119" s="7"/>
      <c r="L119" s="7"/>
    </row>
    <row r="120" spans="4:12" ht="14.25" customHeight="1" x14ac:dyDescent="0.3">
      <c r="D120" s="7"/>
      <c r="E120" s="7"/>
      <c r="F120" s="7"/>
      <c r="G120" s="7"/>
      <c r="H120" s="7"/>
      <c r="I120" s="7"/>
      <c r="J120" s="7"/>
      <c r="K120" s="7"/>
      <c r="L120" s="7"/>
    </row>
    <row r="121" spans="4:12" ht="14.25" customHeight="1" x14ac:dyDescent="0.3">
      <c r="D121" s="7"/>
      <c r="E121" s="7"/>
      <c r="F121" s="7"/>
      <c r="G121" s="7"/>
      <c r="H121" s="7"/>
      <c r="I121" s="7"/>
      <c r="J121" s="7"/>
      <c r="K121" s="7"/>
      <c r="L121" s="7"/>
    </row>
    <row r="122" spans="4:12" ht="14.25" customHeight="1" x14ac:dyDescent="0.3">
      <c r="D122" s="7"/>
      <c r="E122" s="7"/>
      <c r="F122" s="7"/>
      <c r="G122" s="7"/>
      <c r="H122" s="7"/>
      <c r="I122" s="7"/>
      <c r="J122" s="7"/>
      <c r="K122" s="7"/>
      <c r="L122" s="7"/>
    </row>
    <row r="123" spans="4:12" ht="14.25" customHeight="1" x14ac:dyDescent="0.3">
      <c r="D123" s="7"/>
      <c r="E123" s="7"/>
      <c r="F123" s="7"/>
      <c r="G123" s="7"/>
      <c r="H123" s="7"/>
      <c r="I123" s="7"/>
      <c r="J123" s="7"/>
      <c r="K123" s="7"/>
      <c r="L123" s="7"/>
    </row>
    <row r="124" spans="4:12" ht="14.25" customHeight="1" x14ac:dyDescent="0.3">
      <c r="D124" s="7"/>
      <c r="E124" s="7"/>
      <c r="F124" s="7"/>
      <c r="G124" s="7"/>
      <c r="H124" s="7"/>
      <c r="I124" s="7"/>
      <c r="J124" s="7"/>
      <c r="K124" s="7"/>
      <c r="L124" s="7"/>
    </row>
    <row r="125" spans="4:12" ht="14.25" customHeight="1" x14ac:dyDescent="0.3">
      <c r="D125" s="7"/>
      <c r="E125" s="7"/>
      <c r="F125" s="7"/>
      <c r="G125" s="7"/>
      <c r="H125" s="7"/>
      <c r="I125" s="7"/>
      <c r="J125" s="7"/>
      <c r="K125" s="7"/>
      <c r="L125" s="7"/>
    </row>
    <row r="126" spans="4:12" ht="14.25" customHeight="1" x14ac:dyDescent="0.3">
      <c r="D126" s="7"/>
      <c r="E126" s="7"/>
      <c r="F126" s="7"/>
      <c r="G126" s="7"/>
      <c r="H126" s="7"/>
      <c r="I126" s="7"/>
      <c r="J126" s="7"/>
      <c r="K126" s="7"/>
      <c r="L126" s="7"/>
    </row>
    <row r="127" spans="4:12" ht="14.25" customHeight="1" x14ac:dyDescent="0.3">
      <c r="D127" s="7"/>
      <c r="E127" s="7"/>
      <c r="F127" s="7"/>
      <c r="G127" s="7"/>
      <c r="H127" s="7"/>
      <c r="I127" s="7"/>
      <c r="J127" s="7"/>
      <c r="K127" s="7"/>
      <c r="L127" s="7"/>
    </row>
    <row r="128" spans="4:12" ht="14.25" customHeight="1" x14ac:dyDescent="0.3">
      <c r="D128" s="7"/>
      <c r="E128" s="7"/>
      <c r="F128" s="7"/>
      <c r="G128" s="7"/>
      <c r="H128" s="7"/>
      <c r="I128" s="7"/>
      <c r="J128" s="7"/>
      <c r="K128" s="7"/>
      <c r="L128" s="7"/>
    </row>
    <row r="129" spans="4:12" ht="14.25" customHeight="1" x14ac:dyDescent="0.3">
      <c r="D129" s="7"/>
      <c r="E129" s="7"/>
      <c r="F129" s="7"/>
      <c r="G129" s="7"/>
      <c r="H129" s="7"/>
      <c r="I129" s="7"/>
      <c r="J129" s="7"/>
      <c r="K129" s="7"/>
      <c r="L129" s="7"/>
    </row>
    <row r="130" spans="4:12" ht="14.25" customHeight="1" x14ac:dyDescent="0.3">
      <c r="D130" s="7"/>
      <c r="E130" s="7"/>
      <c r="F130" s="7"/>
      <c r="G130" s="7"/>
      <c r="H130" s="7"/>
      <c r="I130" s="7"/>
      <c r="J130" s="7"/>
      <c r="K130" s="7"/>
      <c r="L130" s="7"/>
    </row>
    <row r="131" spans="4:12" ht="14.25" customHeight="1" x14ac:dyDescent="0.3">
      <c r="D131" s="7"/>
      <c r="E131" s="7"/>
      <c r="F131" s="7"/>
      <c r="G131" s="7"/>
      <c r="H131" s="7"/>
      <c r="I131" s="7"/>
      <c r="J131" s="7"/>
      <c r="K131" s="7"/>
      <c r="L131" s="7"/>
    </row>
    <row r="132" spans="4:12" ht="14.25" customHeight="1" x14ac:dyDescent="0.3">
      <c r="D132" s="7"/>
      <c r="E132" s="7"/>
      <c r="F132" s="7"/>
      <c r="G132" s="7"/>
      <c r="H132" s="7"/>
      <c r="I132" s="7"/>
      <c r="J132" s="7"/>
      <c r="K132" s="7"/>
      <c r="L132" s="7"/>
    </row>
    <row r="133" spans="4:12" ht="14.25" customHeight="1" x14ac:dyDescent="0.3">
      <c r="D133" s="7"/>
      <c r="E133" s="7"/>
      <c r="F133" s="7"/>
      <c r="G133" s="7"/>
      <c r="H133" s="7"/>
      <c r="I133" s="7"/>
      <c r="J133" s="7"/>
      <c r="K133" s="7"/>
      <c r="L133" s="7"/>
    </row>
    <row r="134" spans="4:12" ht="14.25" customHeight="1" x14ac:dyDescent="0.3">
      <c r="D134" s="7"/>
      <c r="E134" s="7"/>
      <c r="F134" s="7"/>
      <c r="G134" s="7"/>
      <c r="H134" s="7"/>
      <c r="I134" s="7"/>
      <c r="J134" s="7"/>
      <c r="K134" s="7"/>
      <c r="L134" s="7"/>
    </row>
    <row r="135" spans="4:12" ht="14.25" customHeight="1" x14ac:dyDescent="0.3">
      <c r="D135" s="7"/>
      <c r="E135" s="7"/>
      <c r="F135" s="7"/>
      <c r="G135" s="7"/>
      <c r="H135" s="7"/>
      <c r="I135" s="7"/>
      <c r="J135" s="7"/>
      <c r="K135" s="7"/>
      <c r="L135" s="7"/>
    </row>
    <row r="136" spans="4:12" ht="14.25" customHeight="1" x14ac:dyDescent="0.3">
      <c r="D136" s="7"/>
      <c r="E136" s="7"/>
      <c r="F136" s="7"/>
      <c r="G136" s="7"/>
      <c r="H136" s="7"/>
      <c r="I136" s="7"/>
      <c r="J136" s="7"/>
      <c r="K136" s="7"/>
      <c r="L136" s="7"/>
    </row>
    <row r="137" spans="4:12" ht="14.25" customHeight="1" x14ac:dyDescent="0.3">
      <c r="D137" s="7"/>
      <c r="E137" s="7"/>
      <c r="F137" s="7"/>
      <c r="G137" s="7"/>
      <c r="H137" s="7"/>
      <c r="I137" s="7"/>
      <c r="J137" s="7"/>
      <c r="K137" s="7"/>
      <c r="L137" s="7"/>
    </row>
    <row r="138" spans="4:12" ht="14.25" customHeight="1" x14ac:dyDescent="0.3">
      <c r="D138" s="7"/>
      <c r="E138" s="7"/>
      <c r="F138" s="7"/>
      <c r="G138" s="7"/>
      <c r="H138" s="7"/>
      <c r="I138" s="7"/>
      <c r="J138" s="7"/>
      <c r="K138" s="7"/>
      <c r="L138" s="7"/>
    </row>
    <row r="139" spans="4:12" ht="14.25" customHeight="1" x14ac:dyDescent="0.3">
      <c r="D139" s="7"/>
      <c r="E139" s="7"/>
      <c r="F139" s="7"/>
      <c r="G139" s="7"/>
      <c r="H139" s="7"/>
      <c r="I139" s="7"/>
      <c r="J139" s="7"/>
      <c r="K139" s="7"/>
      <c r="L139" s="7"/>
    </row>
    <row r="140" spans="4:12" ht="14.25" customHeight="1" x14ac:dyDescent="0.3">
      <c r="D140" s="7"/>
      <c r="E140" s="7"/>
      <c r="F140" s="7"/>
      <c r="G140" s="7"/>
      <c r="H140" s="7"/>
      <c r="I140" s="7"/>
      <c r="J140" s="7"/>
      <c r="K140" s="7"/>
      <c r="L140" s="7"/>
    </row>
    <row r="141" spans="4:12" ht="14.25" customHeight="1" x14ac:dyDescent="0.3">
      <c r="D141" s="7"/>
      <c r="E141" s="7"/>
      <c r="F141" s="7"/>
      <c r="G141" s="7"/>
      <c r="H141" s="7"/>
      <c r="I141" s="7"/>
      <c r="J141" s="7"/>
      <c r="K141" s="7"/>
      <c r="L141" s="7"/>
    </row>
    <row r="142" spans="4:12" ht="14.25" customHeight="1" x14ac:dyDescent="0.3">
      <c r="D142" s="7"/>
      <c r="E142" s="7"/>
      <c r="F142" s="7"/>
      <c r="G142" s="7"/>
      <c r="H142" s="7"/>
      <c r="I142" s="7"/>
      <c r="J142" s="7"/>
      <c r="K142" s="7"/>
      <c r="L142" s="7"/>
    </row>
    <row r="143" spans="4:12" ht="14.25" customHeight="1" x14ac:dyDescent="0.3">
      <c r="D143" s="7"/>
      <c r="E143" s="7"/>
      <c r="F143" s="7"/>
      <c r="G143" s="7"/>
      <c r="H143" s="7"/>
      <c r="I143" s="7"/>
      <c r="J143" s="7"/>
      <c r="K143" s="7"/>
      <c r="L143" s="7"/>
    </row>
    <row r="144" spans="4:12" ht="14.25" customHeight="1" x14ac:dyDescent="0.3">
      <c r="D144" s="7"/>
      <c r="E144" s="7"/>
      <c r="F144" s="7"/>
      <c r="G144" s="7"/>
      <c r="H144" s="7"/>
      <c r="I144" s="7"/>
      <c r="J144" s="7"/>
      <c r="K144" s="7"/>
      <c r="L144" s="7"/>
    </row>
    <row r="145" spans="4:12" ht="14.25" customHeight="1" x14ac:dyDescent="0.3">
      <c r="D145" s="7"/>
      <c r="E145" s="7"/>
      <c r="F145" s="7"/>
      <c r="G145" s="7"/>
      <c r="H145" s="7"/>
      <c r="I145" s="7"/>
      <c r="J145" s="7"/>
      <c r="K145" s="7"/>
      <c r="L145" s="7"/>
    </row>
    <row r="146" spans="4:12" ht="14.25" customHeight="1" x14ac:dyDescent="0.3">
      <c r="D146" s="7"/>
      <c r="E146" s="7"/>
      <c r="F146" s="7"/>
      <c r="G146" s="7"/>
      <c r="H146" s="7"/>
      <c r="I146" s="7"/>
      <c r="J146" s="7"/>
      <c r="K146" s="7"/>
      <c r="L146" s="7"/>
    </row>
    <row r="147" spans="4:12" ht="14.25" customHeight="1" x14ac:dyDescent="0.3">
      <c r="D147" s="7"/>
      <c r="E147" s="7"/>
      <c r="F147" s="7"/>
      <c r="G147" s="7"/>
      <c r="H147" s="7"/>
      <c r="I147" s="7"/>
      <c r="J147" s="7"/>
      <c r="K147" s="7"/>
      <c r="L147" s="7"/>
    </row>
    <row r="148" spans="4:12" ht="14.25" customHeight="1" x14ac:dyDescent="0.3">
      <c r="D148" s="7"/>
      <c r="E148" s="7"/>
      <c r="F148" s="7"/>
      <c r="G148" s="7"/>
      <c r="H148" s="7"/>
      <c r="I148" s="7"/>
      <c r="J148" s="7"/>
      <c r="K148" s="7"/>
      <c r="L148" s="7"/>
    </row>
    <row r="149" spans="4:12" ht="14.25" customHeight="1" x14ac:dyDescent="0.3">
      <c r="D149" s="7"/>
      <c r="E149" s="7"/>
      <c r="F149" s="7"/>
      <c r="G149" s="7"/>
      <c r="H149" s="7"/>
      <c r="I149" s="7"/>
      <c r="J149" s="7"/>
      <c r="K149" s="7"/>
      <c r="L149" s="7"/>
    </row>
    <row r="150" spans="4:12" ht="14.25" customHeight="1" x14ac:dyDescent="0.3">
      <c r="D150" s="7"/>
      <c r="E150" s="7"/>
      <c r="F150" s="7"/>
      <c r="G150" s="7"/>
      <c r="H150" s="7"/>
      <c r="I150" s="7"/>
      <c r="J150" s="7"/>
      <c r="K150" s="7"/>
      <c r="L150" s="7"/>
    </row>
    <row r="151" spans="4:12" ht="14.25" customHeight="1" x14ac:dyDescent="0.3">
      <c r="D151" s="7"/>
      <c r="E151" s="7"/>
      <c r="F151" s="7"/>
      <c r="G151" s="7"/>
      <c r="H151" s="7"/>
      <c r="I151" s="7"/>
      <c r="J151" s="7"/>
      <c r="K151" s="7"/>
      <c r="L151" s="7"/>
    </row>
    <row r="152" spans="4:12" ht="14.25" customHeight="1" x14ac:dyDescent="0.3">
      <c r="D152" s="7"/>
      <c r="E152" s="7"/>
      <c r="F152" s="7"/>
      <c r="G152" s="7"/>
      <c r="H152" s="7"/>
      <c r="I152" s="7"/>
      <c r="J152" s="7"/>
      <c r="K152" s="7"/>
      <c r="L152" s="7"/>
    </row>
    <row r="153" spans="4:12" ht="14.25" customHeight="1" x14ac:dyDescent="0.3">
      <c r="D153" s="7"/>
      <c r="E153" s="7"/>
      <c r="F153" s="7"/>
      <c r="G153" s="7"/>
      <c r="H153" s="7"/>
      <c r="I153" s="7"/>
      <c r="J153" s="7"/>
      <c r="K153" s="7"/>
      <c r="L153" s="7"/>
    </row>
    <row r="154" spans="4:12" ht="14.25" customHeight="1" x14ac:dyDescent="0.3">
      <c r="D154" s="7"/>
      <c r="E154" s="7"/>
      <c r="F154" s="7"/>
      <c r="G154" s="7"/>
      <c r="H154" s="7"/>
      <c r="I154" s="7"/>
      <c r="J154" s="7"/>
      <c r="K154" s="7"/>
      <c r="L154" s="7"/>
    </row>
    <row r="155" spans="4:12" ht="14.25" customHeight="1" x14ac:dyDescent="0.3">
      <c r="D155" s="7"/>
      <c r="E155" s="7"/>
      <c r="F155" s="7"/>
      <c r="G155" s="7"/>
      <c r="H155" s="7"/>
      <c r="I155" s="7"/>
      <c r="J155" s="7"/>
      <c r="K155" s="7"/>
      <c r="L155" s="7"/>
    </row>
    <row r="156" spans="4:12" ht="14.25" customHeight="1" x14ac:dyDescent="0.3">
      <c r="D156" s="7"/>
      <c r="E156" s="7"/>
      <c r="F156" s="7"/>
      <c r="G156" s="7"/>
      <c r="H156" s="7"/>
      <c r="I156" s="7"/>
      <c r="J156" s="7"/>
      <c r="K156" s="7"/>
      <c r="L156" s="7"/>
    </row>
    <row r="157" spans="4:12" ht="14.25" customHeight="1" x14ac:dyDescent="0.3">
      <c r="D157" s="7"/>
      <c r="E157" s="7"/>
      <c r="F157" s="7"/>
      <c r="G157" s="7"/>
      <c r="H157" s="7"/>
      <c r="I157" s="7"/>
      <c r="J157" s="7"/>
      <c r="K157" s="7"/>
      <c r="L157" s="7"/>
    </row>
    <row r="158" spans="4:12" ht="14.25" customHeight="1" x14ac:dyDescent="0.3">
      <c r="D158" s="7"/>
      <c r="E158" s="7"/>
      <c r="F158" s="7"/>
      <c r="G158" s="7"/>
      <c r="H158" s="7"/>
      <c r="I158" s="7"/>
      <c r="J158" s="7"/>
      <c r="K158" s="7"/>
      <c r="L158" s="7"/>
    </row>
    <row r="159" spans="4:12" ht="14.25" customHeight="1" x14ac:dyDescent="0.3">
      <c r="D159" s="7"/>
      <c r="E159" s="7"/>
      <c r="F159" s="7"/>
      <c r="G159" s="7"/>
      <c r="H159" s="7"/>
      <c r="I159" s="7"/>
      <c r="J159" s="7"/>
      <c r="K159" s="7"/>
      <c r="L159" s="7"/>
    </row>
    <row r="160" spans="4:12" ht="14.25" customHeight="1" x14ac:dyDescent="0.3">
      <c r="D160" s="7"/>
      <c r="E160" s="7"/>
      <c r="F160" s="7"/>
      <c r="G160" s="7"/>
      <c r="H160" s="7"/>
      <c r="I160" s="7"/>
      <c r="J160" s="7"/>
      <c r="K160" s="7"/>
      <c r="L160" s="7"/>
    </row>
    <row r="161" spans="4:12" ht="14.25" customHeight="1" x14ac:dyDescent="0.3">
      <c r="D161" s="7"/>
      <c r="E161" s="7"/>
      <c r="F161" s="7"/>
      <c r="G161" s="7"/>
      <c r="H161" s="7"/>
      <c r="I161" s="7"/>
      <c r="J161" s="7"/>
      <c r="K161" s="7"/>
      <c r="L161" s="7"/>
    </row>
    <row r="162" spans="4:12" ht="14.25" customHeight="1" x14ac:dyDescent="0.3">
      <c r="D162" s="7"/>
      <c r="E162" s="7"/>
      <c r="F162" s="7"/>
      <c r="G162" s="7"/>
      <c r="H162" s="7"/>
      <c r="I162" s="7"/>
      <c r="J162" s="7"/>
      <c r="K162" s="7"/>
      <c r="L162" s="7"/>
    </row>
    <row r="163" spans="4:12" ht="14.25" customHeight="1" x14ac:dyDescent="0.3">
      <c r="D163" s="7"/>
      <c r="E163" s="7"/>
      <c r="F163" s="7"/>
      <c r="G163" s="7"/>
      <c r="H163" s="7"/>
      <c r="I163" s="7"/>
      <c r="J163" s="7"/>
      <c r="K163" s="7"/>
      <c r="L163" s="7"/>
    </row>
    <row r="164" spans="4:12" ht="14.25" customHeight="1" x14ac:dyDescent="0.3">
      <c r="D164" s="7"/>
      <c r="E164" s="7"/>
      <c r="F164" s="7"/>
      <c r="G164" s="7"/>
      <c r="H164" s="7"/>
      <c r="I164" s="7"/>
      <c r="J164" s="7"/>
      <c r="K164" s="7"/>
      <c r="L164" s="7"/>
    </row>
    <row r="165" spans="4:12" ht="14.25" customHeight="1" x14ac:dyDescent="0.3">
      <c r="D165" s="7"/>
      <c r="E165" s="7"/>
      <c r="F165" s="7"/>
      <c r="G165" s="7"/>
      <c r="H165" s="7"/>
      <c r="I165" s="7"/>
      <c r="J165" s="7"/>
      <c r="K165" s="7"/>
      <c r="L165" s="7"/>
    </row>
    <row r="166" spans="4:12" ht="14.25" customHeight="1" x14ac:dyDescent="0.3">
      <c r="D166" s="7"/>
      <c r="E166" s="7"/>
      <c r="F166" s="7"/>
      <c r="G166" s="7"/>
      <c r="H166" s="7"/>
      <c r="I166" s="7"/>
      <c r="J166" s="7"/>
      <c r="K166" s="7"/>
      <c r="L166" s="7"/>
    </row>
    <row r="167" spans="4:12" ht="14.25" customHeight="1" x14ac:dyDescent="0.3">
      <c r="D167" s="7"/>
      <c r="E167" s="7"/>
      <c r="F167" s="7"/>
      <c r="G167" s="7"/>
      <c r="H167" s="7"/>
      <c r="I167" s="7"/>
      <c r="J167" s="7"/>
      <c r="K167" s="7"/>
      <c r="L167" s="7"/>
    </row>
    <row r="168" spans="4:12" ht="14.25" customHeight="1" x14ac:dyDescent="0.3">
      <c r="D168" s="7"/>
      <c r="E168" s="7"/>
      <c r="F168" s="7"/>
      <c r="G168" s="7"/>
      <c r="H168" s="7"/>
      <c r="I168" s="7"/>
      <c r="J168" s="7"/>
      <c r="K168" s="7"/>
      <c r="L168" s="7"/>
    </row>
    <row r="169" spans="4:12" ht="14.25" customHeight="1" x14ac:dyDescent="0.3">
      <c r="D169" s="7"/>
      <c r="E169" s="7"/>
      <c r="F169" s="7"/>
      <c r="G169" s="7"/>
      <c r="H169" s="7"/>
      <c r="I169" s="7"/>
      <c r="J169" s="7"/>
      <c r="K169" s="7"/>
      <c r="L169" s="7"/>
    </row>
    <row r="170" spans="4:12" ht="14.25" customHeight="1" x14ac:dyDescent="0.3">
      <c r="D170" s="7"/>
      <c r="E170" s="7"/>
      <c r="F170" s="7"/>
      <c r="G170" s="7"/>
      <c r="H170" s="7"/>
      <c r="I170" s="7"/>
      <c r="J170" s="7"/>
      <c r="K170" s="7"/>
      <c r="L170" s="7"/>
    </row>
    <row r="171" spans="4:12" ht="14.25" customHeight="1" x14ac:dyDescent="0.3">
      <c r="D171" s="7"/>
      <c r="E171" s="7"/>
      <c r="F171" s="7"/>
      <c r="G171" s="7"/>
      <c r="H171" s="7"/>
      <c r="I171" s="7"/>
      <c r="J171" s="7"/>
      <c r="K171" s="7"/>
      <c r="L171" s="7"/>
    </row>
    <row r="172" spans="4:12" ht="14.25" customHeight="1" x14ac:dyDescent="0.3">
      <c r="D172" s="7"/>
      <c r="E172" s="7"/>
      <c r="F172" s="7"/>
      <c r="G172" s="7"/>
      <c r="H172" s="7"/>
      <c r="I172" s="7"/>
      <c r="J172" s="7"/>
      <c r="K172" s="7"/>
      <c r="L172" s="7"/>
    </row>
    <row r="173" spans="4:12" ht="14.25" customHeight="1" x14ac:dyDescent="0.3">
      <c r="D173" s="7"/>
      <c r="E173" s="7"/>
      <c r="F173" s="7"/>
      <c r="G173" s="7"/>
      <c r="H173" s="7"/>
      <c r="I173" s="7"/>
      <c r="J173" s="7"/>
      <c r="K173" s="7"/>
      <c r="L173" s="7"/>
    </row>
    <row r="174" spans="4:12" ht="14.25" customHeight="1" x14ac:dyDescent="0.3">
      <c r="D174" s="7"/>
      <c r="E174" s="7"/>
      <c r="F174" s="7"/>
      <c r="G174" s="7"/>
      <c r="H174" s="7"/>
      <c r="I174" s="7"/>
      <c r="J174" s="7"/>
      <c r="K174" s="7"/>
      <c r="L174" s="7"/>
    </row>
    <row r="175" spans="4:12" ht="14.25" customHeight="1" x14ac:dyDescent="0.3">
      <c r="D175" s="7"/>
      <c r="E175" s="7"/>
      <c r="F175" s="7"/>
      <c r="G175" s="7"/>
      <c r="H175" s="7"/>
      <c r="I175" s="7"/>
      <c r="J175" s="7"/>
      <c r="K175" s="7"/>
      <c r="L175" s="7"/>
    </row>
    <row r="176" spans="4:12" ht="14.25" customHeight="1" x14ac:dyDescent="0.3">
      <c r="D176" s="7"/>
      <c r="E176" s="7"/>
      <c r="F176" s="7"/>
      <c r="G176" s="7"/>
      <c r="H176" s="7"/>
      <c r="I176" s="7"/>
      <c r="J176" s="7"/>
      <c r="K176" s="7"/>
      <c r="L176" s="7"/>
    </row>
    <row r="177" spans="4:12" ht="14.25" customHeight="1" x14ac:dyDescent="0.3">
      <c r="D177" s="7"/>
      <c r="E177" s="7"/>
      <c r="F177" s="7"/>
      <c r="G177" s="7"/>
      <c r="H177" s="7"/>
      <c r="I177" s="7"/>
      <c r="J177" s="7"/>
      <c r="K177" s="7"/>
      <c r="L177" s="7"/>
    </row>
    <row r="178" spans="4:12" ht="14.25" customHeight="1" x14ac:dyDescent="0.3">
      <c r="D178" s="7"/>
      <c r="E178" s="7"/>
      <c r="F178" s="7"/>
      <c r="G178" s="7"/>
      <c r="H178" s="7"/>
      <c r="I178" s="7"/>
      <c r="J178" s="7"/>
      <c r="K178" s="7"/>
      <c r="L178" s="7"/>
    </row>
    <row r="179" spans="4:12" ht="14.25" customHeight="1" x14ac:dyDescent="0.3">
      <c r="D179" s="7"/>
      <c r="E179" s="7"/>
      <c r="F179" s="7"/>
      <c r="G179" s="7"/>
      <c r="H179" s="7"/>
      <c r="I179" s="7"/>
      <c r="J179" s="7"/>
      <c r="K179" s="7"/>
      <c r="L179" s="7"/>
    </row>
    <row r="180" spans="4:12" ht="14.25" customHeight="1" x14ac:dyDescent="0.3">
      <c r="D180" s="7"/>
      <c r="E180" s="7"/>
      <c r="F180" s="7"/>
      <c r="G180" s="7"/>
      <c r="H180" s="7"/>
      <c r="I180" s="7"/>
      <c r="J180" s="7"/>
      <c r="K180" s="7"/>
      <c r="L180" s="7"/>
    </row>
    <row r="181" spans="4:12" ht="14.25" customHeight="1" x14ac:dyDescent="0.3">
      <c r="D181" s="7"/>
      <c r="E181" s="7"/>
      <c r="F181" s="7"/>
      <c r="G181" s="7"/>
      <c r="H181" s="7"/>
      <c r="I181" s="7"/>
      <c r="J181" s="7"/>
      <c r="K181" s="7"/>
      <c r="L181" s="7"/>
    </row>
    <row r="182" spans="4:12" ht="14.25" customHeight="1" x14ac:dyDescent="0.3">
      <c r="D182" s="7"/>
      <c r="E182" s="7"/>
      <c r="F182" s="7"/>
      <c r="G182" s="7"/>
      <c r="H182" s="7"/>
      <c r="I182" s="7"/>
      <c r="J182" s="7"/>
      <c r="K182" s="7"/>
      <c r="L182" s="7"/>
    </row>
    <row r="183" spans="4:12" ht="14.25" customHeight="1" x14ac:dyDescent="0.3">
      <c r="D183" s="7"/>
      <c r="E183" s="7"/>
      <c r="F183" s="7"/>
      <c r="G183" s="7"/>
      <c r="H183" s="7"/>
      <c r="I183" s="7"/>
      <c r="J183" s="7"/>
      <c r="K183" s="7"/>
      <c r="L183" s="7"/>
    </row>
    <row r="184" spans="4:12" ht="14.25" customHeight="1" x14ac:dyDescent="0.3">
      <c r="D184" s="7"/>
      <c r="E184" s="7"/>
      <c r="F184" s="7"/>
      <c r="G184" s="7"/>
      <c r="H184" s="7"/>
      <c r="I184" s="7"/>
      <c r="J184" s="7"/>
      <c r="K184" s="7"/>
      <c r="L184" s="7"/>
    </row>
    <row r="185" spans="4:12" ht="14.25" customHeight="1" x14ac:dyDescent="0.3">
      <c r="D185" s="7"/>
      <c r="E185" s="7"/>
      <c r="F185" s="7"/>
      <c r="G185" s="7"/>
      <c r="H185" s="7"/>
      <c r="I185" s="7"/>
      <c r="J185" s="7"/>
      <c r="K185" s="7"/>
      <c r="L185" s="7"/>
    </row>
    <row r="186" spans="4:12" ht="14.25" customHeight="1" x14ac:dyDescent="0.3">
      <c r="D186" s="7"/>
      <c r="E186" s="7"/>
      <c r="F186" s="7"/>
      <c r="G186" s="7"/>
      <c r="H186" s="7"/>
      <c r="I186" s="7"/>
      <c r="J186" s="7"/>
      <c r="K186" s="7"/>
      <c r="L186" s="7"/>
    </row>
    <row r="187" spans="4:12" ht="14.25" customHeight="1" x14ac:dyDescent="0.3">
      <c r="D187" s="7"/>
      <c r="E187" s="7"/>
      <c r="F187" s="7"/>
      <c r="G187" s="7"/>
      <c r="H187" s="7"/>
      <c r="I187" s="7"/>
      <c r="J187" s="7"/>
      <c r="K187" s="7"/>
      <c r="L187" s="7"/>
    </row>
    <row r="188" spans="4:12" ht="14.25" customHeight="1" x14ac:dyDescent="0.3">
      <c r="D188" s="7"/>
      <c r="E188" s="7"/>
      <c r="F188" s="7"/>
      <c r="G188" s="7"/>
      <c r="H188" s="7"/>
      <c r="I188" s="7"/>
      <c r="J188" s="7"/>
      <c r="K188" s="7"/>
      <c r="L188" s="7"/>
    </row>
    <row r="189" spans="4:12" ht="14.25" customHeight="1" x14ac:dyDescent="0.3">
      <c r="D189" s="7"/>
      <c r="E189" s="7"/>
      <c r="F189" s="7"/>
      <c r="G189" s="7"/>
      <c r="H189" s="7"/>
      <c r="I189" s="7"/>
      <c r="J189" s="7"/>
      <c r="K189" s="7"/>
      <c r="L189" s="7"/>
    </row>
    <row r="190" spans="4:12" ht="14.25" customHeight="1" x14ac:dyDescent="0.3">
      <c r="D190" s="7"/>
      <c r="E190" s="7"/>
      <c r="F190" s="7"/>
      <c r="G190" s="7"/>
      <c r="H190" s="7"/>
      <c r="I190" s="7"/>
      <c r="J190" s="7"/>
      <c r="K190" s="7"/>
      <c r="L190" s="7"/>
    </row>
    <row r="191" spans="4:12" ht="14.25" customHeight="1" x14ac:dyDescent="0.3">
      <c r="D191" s="7"/>
      <c r="E191" s="7"/>
      <c r="F191" s="7"/>
      <c r="G191" s="7"/>
      <c r="H191" s="7"/>
      <c r="I191" s="7"/>
      <c r="J191" s="7"/>
      <c r="K191" s="7"/>
      <c r="L191" s="7"/>
    </row>
    <row r="192" spans="4:12" ht="14.25" customHeight="1" x14ac:dyDescent="0.3">
      <c r="D192" s="7"/>
      <c r="E192" s="7"/>
      <c r="F192" s="7"/>
      <c r="G192" s="7"/>
      <c r="H192" s="7"/>
      <c r="I192" s="7"/>
      <c r="J192" s="7"/>
      <c r="K192" s="7"/>
      <c r="L192" s="7"/>
    </row>
    <row r="193" spans="4:12" ht="14.25" customHeight="1" x14ac:dyDescent="0.3">
      <c r="D193" s="7"/>
      <c r="E193" s="7"/>
      <c r="F193" s="7"/>
      <c r="G193" s="7"/>
      <c r="H193" s="7"/>
      <c r="I193" s="7"/>
      <c r="J193" s="7"/>
      <c r="K193" s="7"/>
      <c r="L193" s="7"/>
    </row>
    <row r="194" spans="4:12" ht="14.25" customHeight="1" x14ac:dyDescent="0.3">
      <c r="D194" s="7"/>
      <c r="E194" s="7"/>
      <c r="F194" s="7"/>
      <c r="G194" s="7"/>
      <c r="H194" s="7"/>
      <c r="I194" s="7"/>
      <c r="J194" s="7"/>
      <c r="K194" s="7"/>
      <c r="L194" s="7"/>
    </row>
    <row r="195" spans="4:12" ht="14.25" customHeight="1" x14ac:dyDescent="0.3">
      <c r="D195" s="7"/>
      <c r="E195" s="7"/>
      <c r="F195" s="7"/>
      <c r="G195" s="7"/>
      <c r="H195" s="7"/>
      <c r="I195" s="7"/>
      <c r="J195" s="7"/>
      <c r="K195" s="7"/>
      <c r="L195" s="7"/>
    </row>
    <row r="196" spans="4:12" ht="14.25" customHeight="1" x14ac:dyDescent="0.3">
      <c r="D196" s="7"/>
      <c r="E196" s="7"/>
      <c r="F196" s="7"/>
      <c r="G196" s="7"/>
      <c r="H196" s="7"/>
      <c r="I196" s="7"/>
      <c r="J196" s="7"/>
      <c r="K196" s="7"/>
      <c r="L196" s="7"/>
    </row>
    <row r="197" spans="4:12" ht="14.25" customHeight="1" x14ac:dyDescent="0.3">
      <c r="D197" s="7"/>
      <c r="E197" s="7"/>
      <c r="F197" s="7"/>
      <c r="G197" s="7"/>
      <c r="H197" s="7"/>
      <c r="I197" s="7"/>
      <c r="J197" s="7"/>
      <c r="K197" s="7"/>
      <c r="L197" s="7"/>
    </row>
    <row r="198" spans="4:12" ht="14.25" customHeight="1" x14ac:dyDescent="0.3">
      <c r="D198" s="7"/>
      <c r="E198" s="7"/>
      <c r="F198" s="7"/>
      <c r="G198" s="7"/>
      <c r="H198" s="7"/>
      <c r="I198" s="7"/>
      <c r="J198" s="7"/>
      <c r="K198" s="7"/>
      <c r="L198" s="7"/>
    </row>
    <row r="199" spans="4:12" ht="14.25" customHeight="1" x14ac:dyDescent="0.3">
      <c r="D199" s="7"/>
      <c r="E199" s="7"/>
      <c r="F199" s="7"/>
      <c r="G199" s="7"/>
      <c r="H199" s="7"/>
      <c r="I199" s="7"/>
      <c r="J199" s="7"/>
      <c r="K199" s="7"/>
      <c r="L199" s="7"/>
    </row>
    <row r="200" spans="4:12" ht="14.25" customHeight="1" x14ac:dyDescent="0.3">
      <c r="D200" s="7"/>
      <c r="E200" s="7"/>
      <c r="F200" s="7"/>
      <c r="G200" s="7"/>
      <c r="H200" s="7"/>
      <c r="I200" s="7"/>
      <c r="J200" s="7"/>
      <c r="K200" s="7"/>
      <c r="L200" s="7"/>
    </row>
    <row r="201" spans="4:12" ht="14.25" customHeight="1" x14ac:dyDescent="0.3">
      <c r="D201" s="7"/>
      <c r="E201" s="7"/>
      <c r="F201" s="7"/>
      <c r="G201" s="7"/>
      <c r="H201" s="7"/>
      <c r="I201" s="7"/>
      <c r="J201" s="7"/>
      <c r="K201" s="7"/>
      <c r="L201" s="7"/>
    </row>
    <row r="202" spans="4:12" ht="14.25" customHeight="1" x14ac:dyDescent="0.3">
      <c r="D202" s="7"/>
      <c r="E202" s="7"/>
      <c r="F202" s="7"/>
      <c r="G202" s="7"/>
      <c r="H202" s="7"/>
      <c r="I202" s="7"/>
      <c r="J202" s="7"/>
      <c r="K202" s="7"/>
      <c r="L202" s="7"/>
    </row>
    <row r="203" spans="4:12" ht="14.25" customHeight="1" x14ac:dyDescent="0.3">
      <c r="D203" s="7"/>
      <c r="E203" s="7"/>
      <c r="F203" s="7"/>
      <c r="G203" s="7"/>
      <c r="H203" s="7"/>
      <c r="I203" s="7"/>
      <c r="J203" s="7"/>
      <c r="K203" s="7"/>
      <c r="L203" s="7"/>
    </row>
    <row r="204" spans="4:12" ht="14.25" customHeight="1" x14ac:dyDescent="0.3">
      <c r="D204" s="7"/>
      <c r="E204" s="7"/>
      <c r="F204" s="7"/>
      <c r="G204" s="7"/>
      <c r="H204" s="7"/>
      <c r="I204" s="7"/>
      <c r="J204" s="7"/>
      <c r="K204" s="7"/>
      <c r="L204" s="7"/>
    </row>
    <row r="205" spans="4:12" ht="14.25" customHeight="1" x14ac:dyDescent="0.3">
      <c r="D205" s="7"/>
      <c r="E205" s="7"/>
      <c r="F205" s="7"/>
      <c r="G205" s="7"/>
      <c r="H205" s="7"/>
      <c r="I205" s="7"/>
      <c r="J205" s="7"/>
      <c r="K205" s="7"/>
      <c r="L205" s="7"/>
    </row>
    <row r="206" spans="4:12" ht="14.25" customHeight="1" x14ac:dyDescent="0.3">
      <c r="D206" s="7"/>
      <c r="E206" s="7"/>
      <c r="F206" s="7"/>
      <c r="G206" s="7"/>
      <c r="H206" s="7"/>
      <c r="I206" s="7"/>
      <c r="J206" s="7"/>
      <c r="K206" s="7"/>
      <c r="L206" s="7"/>
    </row>
    <row r="207" spans="4:12" ht="14.25" customHeight="1" x14ac:dyDescent="0.3">
      <c r="D207" s="7"/>
      <c r="E207" s="7"/>
      <c r="F207" s="7"/>
      <c r="G207" s="7"/>
      <c r="H207" s="7"/>
      <c r="I207" s="7"/>
      <c r="J207" s="7"/>
      <c r="K207" s="7"/>
      <c r="L207" s="7"/>
    </row>
    <row r="208" spans="4:12" ht="14.25" customHeight="1" x14ac:dyDescent="0.3">
      <c r="D208" s="7"/>
      <c r="E208" s="7"/>
      <c r="F208" s="7"/>
      <c r="G208" s="7"/>
      <c r="H208" s="7"/>
      <c r="I208" s="7"/>
      <c r="J208" s="7"/>
      <c r="K208" s="7"/>
      <c r="L208" s="7"/>
    </row>
    <row r="209" spans="4:12" ht="14.25" customHeight="1" x14ac:dyDescent="0.3">
      <c r="D209" s="7"/>
      <c r="E209" s="7"/>
      <c r="F209" s="7"/>
      <c r="G209" s="7"/>
      <c r="H209" s="7"/>
      <c r="I209" s="7"/>
      <c r="J209" s="7"/>
      <c r="K209" s="7"/>
      <c r="L209" s="7"/>
    </row>
    <row r="210" spans="4:12" ht="14.25" customHeight="1" x14ac:dyDescent="0.3">
      <c r="D210" s="7"/>
      <c r="E210" s="7"/>
      <c r="F210" s="7"/>
      <c r="G210" s="7"/>
      <c r="H210" s="7"/>
      <c r="I210" s="7"/>
      <c r="J210" s="7"/>
      <c r="K210" s="7"/>
      <c r="L210" s="7"/>
    </row>
    <row r="211" spans="4:12" ht="14.25" customHeight="1" x14ac:dyDescent="0.3">
      <c r="D211" s="7"/>
      <c r="E211" s="7"/>
      <c r="F211" s="7"/>
      <c r="G211" s="7"/>
      <c r="H211" s="7"/>
      <c r="I211" s="7"/>
      <c r="J211" s="7"/>
      <c r="K211" s="7"/>
      <c r="L211" s="7"/>
    </row>
    <row r="212" spans="4:12" ht="14.25" customHeight="1" x14ac:dyDescent="0.3">
      <c r="D212" s="7"/>
      <c r="E212" s="7"/>
      <c r="F212" s="7"/>
      <c r="G212" s="7"/>
      <c r="H212" s="7"/>
      <c r="I212" s="7"/>
      <c r="J212" s="7"/>
      <c r="K212" s="7"/>
      <c r="L212" s="7"/>
    </row>
    <row r="213" spans="4:12" ht="14.25" customHeight="1" x14ac:dyDescent="0.3">
      <c r="D213" s="7"/>
      <c r="E213" s="7"/>
      <c r="F213" s="7"/>
      <c r="G213" s="7"/>
      <c r="H213" s="7"/>
      <c r="I213" s="7"/>
      <c r="J213" s="7"/>
      <c r="K213" s="7"/>
      <c r="L213" s="7"/>
    </row>
    <row r="214" spans="4:12" ht="14.25" customHeight="1" x14ac:dyDescent="0.3">
      <c r="D214" s="7"/>
      <c r="E214" s="7"/>
      <c r="F214" s="7"/>
      <c r="G214" s="7"/>
      <c r="H214" s="7"/>
      <c r="I214" s="7"/>
      <c r="J214" s="7"/>
      <c r="K214" s="7"/>
      <c r="L214" s="7"/>
    </row>
    <row r="215" spans="4:12" ht="14.25" customHeight="1" x14ac:dyDescent="0.3">
      <c r="D215" s="7"/>
      <c r="E215" s="7"/>
      <c r="F215" s="7"/>
      <c r="G215" s="7"/>
      <c r="H215" s="7"/>
      <c r="I215" s="7"/>
      <c r="J215" s="7"/>
      <c r="K215" s="7"/>
      <c r="L215" s="7"/>
    </row>
    <row r="216" spans="4:12" ht="14.25" customHeight="1" x14ac:dyDescent="0.3">
      <c r="D216" s="7"/>
      <c r="E216" s="7"/>
      <c r="F216" s="7"/>
      <c r="G216" s="7"/>
      <c r="H216" s="7"/>
      <c r="I216" s="7"/>
      <c r="J216" s="7"/>
      <c r="K216" s="7"/>
      <c r="L216" s="7"/>
    </row>
    <row r="217" spans="4:12" ht="14.25" customHeight="1" x14ac:dyDescent="0.3">
      <c r="D217" s="7"/>
      <c r="E217" s="7"/>
      <c r="F217" s="7"/>
      <c r="G217" s="7"/>
      <c r="H217" s="7"/>
      <c r="I217" s="7"/>
      <c r="J217" s="7"/>
      <c r="K217" s="7"/>
      <c r="L217" s="7"/>
    </row>
    <row r="218" spans="4:12" ht="14.25" customHeight="1" x14ac:dyDescent="0.3">
      <c r="D218" s="7"/>
      <c r="E218" s="7"/>
      <c r="F218" s="7"/>
      <c r="G218" s="7"/>
      <c r="H218" s="7"/>
      <c r="I218" s="7"/>
      <c r="J218" s="7"/>
      <c r="K218" s="7"/>
      <c r="L218" s="7"/>
    </row>
    <row r="219" spans="4:12" ht="14.25" customHeight="1" x14ac:dyDescent="0.3">
      <c r="D219" s="7"/>
      <c r="E219" s="7"/>
      <c r="F219" s="7"/>
      <c r="G219" s="7"/>
      <c r="H219" s="7"/>
      <c r="I219" s="7"/>
      <c r="J219" s="7"/>
      <c r="K219" s="7"/>
      <c r="L219" s="7"/>
    </row>
    <row r="220" spans="4:12" ht="14.25" customHeight="1" x14ac:dyDescent="0.3">
      <c r="D220" s="7"/>
      <c r="E220" s="7"/>
      <c r="F220" s="7"/>
      <c r="G220" s="7"/>
      <c r="H220" s="7"/>
      <c r="I220" s="7"/>
      <c r="J220" s="7"/>
      <c r="K220" s="7"/>
      <c r="L220" s="7"/>
    </row>
    <row r="221" spans="4:12" ht="14.25" customHeight="1" x14ac:dyDescent="0.3"/>
    <row r="222" spans="4:12" ht="14.25" customHeight="1" x14ac:dyDescent="0.3"/>
    <row r="223" spans="4:12" ht="14.25" customHeight="1" x14ac:dyDescent="0.3"/>
    <row r="224" spans="4:12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>
      <selection activeCell="F5" sqref="F5"/>
    </sheetView>
  </sheetViews>
  <sheetFormatPr defaultColWidth="14.44140625" defaultRowHeight="15" customHeight="1" x14ac:dyDescent="0.3"/>
  <cols>
    <col min="1" max="1" width="15" customWidth="1"/>
    <col min="2" max="2" width="27.109375" customWidth="1"/>
    <col min="3" max="6" width="16.33203125" customWidth="1"/>
    <col min="7" max="9" width="18.33203125" customWidth="1"/>
    <col min="10" max="10" width="12.44140625" customWidth="1"/>
    <col min="11" max="11" width="13.33203125" customWidth="1"/>
    <col min="12" max="12" width="13.5546875" customWidth="1"/>
    <col min="13" max="13" width="12.88671875" customWidth="1"/>
    <col min="14" max="14" width="15.33203125" customWidth="1"/>
    <col min="15" max="15" width="14" customWidth="1"/>
    <col min="16" max="16" width="11.5546875" customWidth="1"/>
    <col min="17" max="17" width="11.6640625" customWidth="1"/>
    <col min="18" max="18" width="10.88671875" customWidth="1"/>
    <col min="19" max="19" width="14.88671875" customWidth="1"/>
    <col min="20" max="20" width="13.109375" customWidth="1"/>
    <col min="21" max="26" width="8.6640625" customWidth="1"/>
  </cols>
  <sheetData>
    <row r="1" spans="1:20" ht="14.25" customHeight="1" x14ac:dyDescent="0.3">
      <c r="A1" s="8" t="s">
        <v>13</v>
      </c>
      <c r="B1" s="9"/>
      <c r="D1" s="9" t="s">
        <v>14</v>
      </c>
      <c r="E1" s="9"/>
      <c r="F1" s="9"/>
      <c r="G1" s="9"/>
      <c r="H1" s="9"/>
      <c r="I1" s="9"/>
      <c r="K1" s="9" t="s">
        <v>15</v>
      </c>
      <c r="L1" s="10"/>
      <c r="M1" s="10"/>
      <c r="N1" s="10"/>
      <c r="O1" s="10"/>
      <c r="P1" s="10"/>
      <c r="Q1" s="10"/>
      <c r="R1" s="10"/>
      <c r="S1" s="10"/>
      <c r="T1" s="10"/>
    </row>
    <row r="2" spans="1:20" ht="14.25" customHeight="1" x14ac:dyDescent="0.3">
      <c r="A2" s="11" t="s">
        <v>16</v>
      </c>
      <c r="B2" s="12" t="s">
        <v>17</v>
      </c>
      <c r="D2" s="11" t="s">
        <v>1</v>
      </c>
      <c r="E2" s="11" t="s">
        <v>18</v>
      </c>
      <c r="F2" s="11" t="s">
        <v>19</v>
      </c>
      <c r="G2" s="11" t="s">
        <v>20</v>
      </c>
      <c r="H2" s="13" t="s">
        <v>21</v>
      </c>
      <c r="I2" s="14" t="s">
        <v>22</v>
      </c>
      <c r="K2" s="11" t="s">
        <v>1</v>
      </c>
      <c r="L2" s="12" t="s">
        <v>3</v>
      </c>
      <c r="M2" s="12" t="s">
        <v>4</v>
      </c>
      <c r="N2" s="12" t="s">
        <v>5</v>
      </c>
      <c r="O2" s="12" t="s">
        <v>6</v>
      </c>
      <c r="P2" s="12" t="s">
        <v>7</v>
      </c>
      <c r="Q2" s="14" t="s">
        <v>8</v>
      </c>
      <c r="R2" s="14" t="s">
        <v>9</v>
      </c>
      <c r="S2" s="14"/>
      <c r="T2" s="14"/>
    </row>
    <row r="3" spans="1:20" ht="14.25" customHeight="1" x14ac:dyDescent="0.3">
      <c r="A3" s="15">
        <v>45658</v>
      </c>
      <c r="B3" s="6">
        <f>SUMIFS(I:I, D:D, DATE(2025,1,1), E:E, "Estrutura")</f>
        <v>0</v>
      </c>
      <c r="D3" s="15">
        <v>45658</v>
      </c>
      <c r="E3" s="4" t="s">
        <v>23</v>
      </c>
      <c r="F3" s="4" t="s">
        <v>24</v>
      </c>
      <c r="G3" s="4" t="s">
        <v>25</v>
      </c>
      <c r="H3" s="6"/>
      <c r="I3" s="6">
        <v>0</v>
      </c>
      <c r="K3" s="15">
        <v>45658</v>
      </c>
      <c r="L3" s="6">
        <f t="array" ref="L3">SUMPRODUCT(
  (MONTH($D$3:$D$101) = MONTH($K3)) *
  (YEAR($D$3:$D$101) = YEAR($K3)) *
  ($E$3:$E$101 = "Individual/Setor") *
  ($F$3:$F$101 = L$2) *
  ($I$3:$I$101)
)</f>
        <v>0</v>
      </c>
      <c r="M3" s="6">
        <f t="array" ref="M3">SUMPRODUCT(
  (MONTH($D$3:$D$101) = MONTH($K3)) *
  (YEAR($D$3:$D$101) = YEAR($K3)) *
  ($E$3:$E$101 = "Individual/Setor") *
  ($F$3:$F$101 = M$2) *
  ($I$3:$I$101)
)</f>
        <v>0</v>
      </c>
      <c r="N3" s="6">
        <f t="array" ref="N3">SUMPRODUCT(
  (MONTH($D$3:$D$101) = MONTH($K3)) *
  (YEAR($D$3:$D$101) = YEAR($K3)) *
  ($E$3:$E$101 = "Individual/Setor") *
  ($F$3:$F$101 = N$2) *
  ($I$3:$I$101)
)</f>
        <v>0</v>
      </c>
      <c r="O3" s="6">
        <f t="array" ref="O3">SUMPRODUCT(
  (MONTH($D$3:$D$101) = MONTH($K3)) *
  (YEAR($D$3:$D$101) = YEAR($K3)) *
  ($E$3:$E$101 = "Individual/Setor") *
  ($F$3:$F$101 = O$2) *
  ($I$3:$I$101)
)</f>
        <v>0</v>
      </c>
      <c r="P3" s="6">
        <f t="array" ref="P3">SUMPRODUCT(
  (MONTH($D$3:$D$101) = MONTH($K3)) *
  (YEAR($D$3:$D$101) = YEAR($K3)) *
  ($E$3:$E$101 = "Individual/Setor") *
  ($F$3:$F$101 = P$2) *
  ($I$3:$I$101)
)</f>
        <v>0</v>
      </c>
      <c r="Q3" s="6">
        <f t="array" ref="Q3">SUMPRODUCT(
  (MONTH($D$3:$D$101) = MONTH($K3)) *
  (YEAR($D$3:$D$101) = YEAR($K3)) *
  ($E$3:$E$101 = "Individual/Setor") *
  ($F$3:$F$101 = Q$2) *
  ($I$3:$I$101)
)</f>
        <v>0</v>
      </c>
      <c r="R3" s="6">
        <f t="array" ref="R3">SUMPRODUCT(
  (MONTH($D$3:$D$101) = MONTH($K3)) *
  (YEAR($D$3:$D$101) = YEAR($K3)) *
  ($E$3:$E$101 = "Individual/Setor") *
  ($F$3:$F$101 = R$2) *
  ($I$3:$I$101)
)</f>
        <v>0</v>
      </c>
      <c r="S3" s="6">
        <f t="array" ref="S3">SUMPRODUCT(
  (MONTH($D$3:$D$101) = MONTH($K3)) *
  (YEAR($D$3:$D$101) = YEAR($K3)) *
  ($E$3:$E$101 = "Individual/Setor") *
  ($F$3:$F$101 = S$2) *
  ($I$3:$I$101)
)</f>
        <v>0</v>
      </c>
      <c r="T3" s="6">
        <f t="array" ref="T3">SUMPRODUCT(
  (MONTH($D$3:$D$101) = MONTH($K3)) *
  (YEAR($D$3:$D$101) = YEAR($K3)) *
  ($E$3:$E$101 = "Individual/Setor") *
  ($F$3:$F$101 = T$2) *
  ($I$3:$I$101)
)</f>
        <v>0</v>
      </c>
    </row>
    <row r="4" spans="1:20" ht="14.25" customHeight="1" x14ac:dyDescent="0.3">
      <c r="A4" s="15">
        <v>45689</v>
      </c>
      <c r="B4" s="6">
        <f>SUMIFS(I:I, D:D, DATE(2025,2,1), E:E, "Estrutura")</f>
        <v>0</v>
      </c>
      <c r="D4" s="15">
        <v>45658</v>
      </c>
      <c r="E4" s="4" t="s">
        <v>23</v>
      </c>
      <c r="F4" s="4" t="s">
        <v>24</v>
      </c>
      <c r="G4" s="4" t="s">
        <v>26</v>
      </c>
      <c r="H4" s="6"/>
      <c r="I4" s="6">
        <v>0</v>
      </c>
      <c r="K4" s="15">
        <v>45689</v>
      </c>
      <c r="L4" s="6">
        <f t="array" ref="L4">SUMPRODUCT(
  (MONTH($D$3:$D$101) = MONTH($K4)) *
  (YEAR($D$3:$D$101) = YEAR($K4)) *
  ($E$3:$E$101 = "Individual/Setor") *
  ($F$3:$F$101 = L$2) *
  ($I$3:$I$101)
)</f>
        <v>0</v>
      </c>
      <c r="M4" s="6">
        <f t="array" ref="M4">SUMPRODUCT(
  (MONTH($D$3:$D$101) = MONTH($K4)) *
  (YEAR($D$3:$D$101) = YEAR($K4)) *
  ($E$3:$E$101 = "Individual/Setor") *
  ($F$3:$F$101 = M$2) *
  ($I$3:$I$101)
)</f>
        <v>0</v>
      </c>
      <c r="N4" s="6">
        <f t="array" ref="N4">SUMPRODUCT(
  (MONTH($D$3:$D$101) = MONTH($K4)) *
  (YEAR($D$3:$D$101) = YEAR($K4)) *
  ($E$3:$E$101 = "Individual/Setor") *
  ($F$3:$F$101 = N$2) *
  ($I$3:$I$101)
)</f>
        <v>0</v>
      </c>
      <c r="O4" s="6">
        <f t="array" ref="O4">SUMPRODUCT(
  (MONTH($D$3:$D$101) = MONTH($K4)) *
  (YEAR($D$3:$D$101) = YEAR($K4)) *
  ($E$3:$E$101 = "Individual/Setor") *
  ($F$3:$F$101 = O$2) *
  ($I$3:$I$101)
)</f>
        <v>0</v>
      </c>
      <c r="P4" s="6">
        <f t="array" ref="P4">SUMPRODUCT(
  (MONTH($D$3:$D$101) = MONTH($K4)) *
  (YEAR($D$3:$D$101) = YEAR($K4)) *
  ($E$3:$E$101 = "Individual/Setor") *
  ($F$3:$F$101 = P$2) *
  ($I$3:$I$101)
)</f>
        <v>0</v>
      </c>
      <c r="Q4" s="6">
        <f t="array" ref="Q4">SUMPRODUCT(
  (MONTH($D$3:$D$101) = MONTH($K4)) *
  (YEAR($D$3:$D$101) = YEAR($K4)) *
  ($E$3:$E$101 = "Individual/Setor") *
  ($F$3:$F$101 = Q$2) *
  ($I$3:$I$101)
)</f>
        <v>0</v>
      </c>
      <c r="R4" s="6">
        <f t="array" ref="R4">SUMPRODUCT(
  (MONTH($D$3:$D$101) = MONTH($K4)) *
  (YEAR($D$3:$D$101) = YEAR($K4)) *
  ($E$3:$E$101 = "Individual/Setor") *
  ($F$3:$F$101 = R$2) *
  ($I$3:$I$101)
)</f>
        <v>0</v>
      </c>
      <c r="S4" s="6">
        <f t="array" ref="S4">SUMPRODUCT(
  (MONTH($D$3:$D$101) = MONTH($K4)) *
  (YEAR($D$3:$D$101) = YEAR($K4)) *
  ($E$3:$E$101 = "Individual/Setor") *
  ($F$3:$F$101 = S$2) *
  ($I$3:$I$101)
)</f>
        <v>0</v>
      </c>
      <c r="T4" s="6">
        <f t="array" ref="T4">SUMPRODUCT(
  (MONTH($D$3:$D$101) = MONTH($K4)) *
  (YEAR($D$3:$D$101) = YEAR($K4)) *
  ($E$3:$E$101 = "Individual/Setor") *
  ($F$3:$F$101 = T$2) *
  ($I$3:$I$101)
)</f>
        <v>0</v>
      </c>
    </row>
    <row r="5" spans="1:20" ht="14.25" customHeight="1" x14ac:dyDescent="0.3">
      <c r="A5" s="15">
        <v>45717</v>
      </c>
      <c r="B5" s="6">
        <f>SUMIFS(I:I, D:D, DATE(2025,3,1), E:E, "Estrutura")</f>
        <v>0</v>
      </c>
      <c r="D5" s="15">
        <v>45658</v>
      </c>
      <c r="E5" s="4" t="s">
        <v>27</v>
      </c>
      <c r="F5" s="4" t="s">
        <v>4</v>
      </c>
      <c r="G5" s="4" t="s">
        <v>25</v>
      </c>
      <c r="H5" s="6"/>
      <c r="I5" s="6">
        <v>0</v>
      </c>
      <c r="K5" s="15">
        <v>45717</v>
      </c>
      <c r="L5" s="6">
        <f t="array" ref="L5">SUMPRODUCT(
  (MONTH($D$3:$D$101) = MONTH($K5)) *
  (YEAR($D$3:$D$101) = YEAR($K5)) *
  ($E$3:$E$101 = "Individual/Setor") *
  ($F$3:$F$101 = L$2) *
  ($I$3:$I$101)
)</f>
        <v>0</v>
      </c>
      <c r="M5" s="6">
        <f t="array" ref="M5">SUMPRODUCT(
  (MONTH($D$3:$D$101) = MONTH($K5)) *
  (YEAR($D$3:$D$101) = YEAR($K5)) *
  ($E$3:$E$101 = "Individual/Setor") *
  ($F$3:$F$101 = M$2) *
  ($I$3:$I$101)
)</f>
        <v>0</v>
      </c>
      <c r="N5" s="6">
        <f t="array" ref="N5">SUMPRODUCT(
  (MONTH($D$3:$D$101) = MONTH($K5)) *
  (YEAR($D$3:$D$101) = YEAR($K5)) *
  ($E$3:$E$101 = "Individual/Setor") *
  ($F$3:$F$101 = N$2) *
  ($I$3:$I$101)
)</f>
        <v>0</v>
      </c>
      <c r="O5" s="6">
        <f t="array" ref="O5">SUMPRODUCT(
  (MONTH($D$3:$D$101) = MONTH($K5)) *
  (YEAR($D$3:$D$101) = YEAR($K5)) *
  ($E$3:$E$101 = "Individual/Setor") *
  ($F$3:$F$101 = O$2) *
  ($I$3:$I$101)
)</f>
        <v>0</v>
      </c>
      <c r="P5" s="6">
        <f t="array" ref="P5">SUMPRODUCT(
  (MONTH($D$3:$D$101) = MONTH($K5)) *
  (YEAR($D$3:$D$101) = YEAR($K5)) *
  ($E$3:$E$101 = "Individual/Setor") *
  ($F$3:$F$101 = P$2) *
  ($I$3:$I$101)
)</f>
        <v>0</v>
      </c>
      <c r="Q5" s="6">
        <f t="array" ref="Q5">SUMPRODUCT(
  (MONTH($D$3:$D$101) = MONTH($K5)) *
  (YEAR($D$3:$D$101) = YEAR($K5)) *
  ($E$3:$E$101 = "Individual/Setor") *
  ($F$3:$F$101 = Q$2) *
  ($I$3:$I$101)
)</f>
        <v>0</v>
      </c>
      <c r="R5" s="6">
        <f t="array" ref="R5">SUMPRODUCT(
  (MONTH($D$3:$D$101) = MONTH($K5)) *
  (YEAR($D$3:$D$101) = YEAR($K5)) *
  ($E$3:$E$101 = "Individual/Setor") *
  ($F$3:$F$101 = R$2) *
  ($I$3:$I$101)
)</f>
        <v>0</v>
      </c>
      <c r="S5" s="6">
        <f t="array" ref="S5">SUMPRODUCT(
  (MONTH($D$3:$D$101) = MONTH($K5)) *
  (YEAR($D$3:$D$101) = YEAR($K5)) *
  ($E$3:$E$101 = "Individual/Setor") *
  ($F$3:$F$101 = S$2) *
  ($I$3:$I$101)
)</f>
        <v>0</v>
      </c>
      <c r="T5" s="6">
        <f t="array" ref="T5">SUMPRODUCT(
  (MONTH($D$3:$D$101) = MONTH($K5)) *
  (YEAR($D$3:$D$101) = YEAR($K5)) *
  ($E$3:$E$101 = "Individual/Setor") *
  ($F$3:$F$101 = T$2) *
  ($I$3:$I$101)
)</f>
        <v>0</v>
      </c>
    </row>
    <row r="6" spans="1:20" ht="14.25" customHeight="1" x14ac:dyDescent="0.3">
      <c r="A6" s="15">
        <v>45748</v>
      </c>
      <c r="B6" s="6">
        <f>SUMIFS(I:I, D:D, DATE(2025,4,1), E:E, "Estrutura")</f>
        <v>0</v>
      </c>
      <c r="C6" s="4"/>
      <c r="D6" s="15">
        <v>45658</v>
      </c>
      <c r="E6" s="4" t="s">
        <v>23</v>
      </c>
      <c r="F6" s="4" t="s">
        <v>24</v>
      </c>
      <c r="G6" s="4" t="s">
        <v>28</v>
      </c>
      <c r="H6" s="6"/>
      <c r="I6" s="6">
        <v>0</v>
      </c>
      <c r="K6" s="15">
        <v>45748</v>
      </c>
      <c r="L6" s="6">
        <f t="array" ref="L6">SUMPRODUCT(
  (MONTH($D$3:$D$101) = MONTH($K6)) *
  (YEAR($D$3:$D$101) = YEAR($K6)) *
  ($E$3:$E$101 = "Individual/Setor") *
  ($F$3:$F$101 = L$2) *
  ($I$3:$I$101)
)</f>
        <v>0</v>
      </c>
      <c r="M6" s="6">
        <f t="array" ref="M6">SUMPRODUCT(
  (MONTH($D$3:$D$101) = MONTH($K6)) *
  (YEAR($D$3:$D$101) = YEAR($K6)) *
  ($E$3:$E$101 = "Individual/Setor") *
  ($F$3:$F$101 = M$2) *
  ($I$3:$I$101)
)</f>
        <v>0</v>
      </c>
      <c r="N6" s="6">
        <f t="array" ref="N6">SUMPRODUCT(
  (MONTH($D$3:$D$101) = MONTH($K6)) *
  (YEAR($D$3:$D$101) = YEAR($K6)) *
  ($E$3:$E$101 = "Individual/Setor") *
  ($F$3:$F$101 = N$2) *
  ($I$3:$I$101)
)</f>
        <v>0</v>
      </c>
      <c r="O6" s="6">
        <f t="array" ref="O6">SUMPRODUCT(
  (MONTH($D$3:$D$101) = MONTH($K6)) *
  (YEAR($D$3:$D$101) = YEAR($K6)) *
  ($E$3:$E$101 = "Individual/Setor") *
  ($F$3:$F$101 = O$2) *
  ($I$3:$I$101)
)</f>
        <v>0</v>
      </c>
      <c r="P6" s="6">
        <f t="array" ref="P6">SUMPRODUCT(
  (MONTH($D$3:$D$101) = MONTH($K6)) *
  (YEAR($D$3:$D$101) = YEAR($K6)) *
  ($E$3:$E$101 = "Individual/Setor") *
  ($F$3:$F$101 = P$2) *
  ($I$3:$I$101)
)</f>
        <v>0</v>
      </c>
      <c r="Q6" s="6">
        <f t="array" ref="Q6">SUMPRODUCT(
  (MONTH($D$3:$D$101) = MONTH($K6)) *
  (YEAR($D$3:$D$101) = YEAR($K6)) *
  ($E$3:$E$101 = "Individual/Setor") *
  ($F$3:$F$101 = Q$2) *
  ($I$3:$I$101)
)</f>
        <v>0</v>
      </c>
      <c r="R6" s="6">
        <f t="array" ref="R6">SUMPRODUCT(
  (MONTH($D$3:$D$101) = MONTH($K6)) *
  (YEAR($D$3:$D$101) = YEAR($K6)) *
  ($E$3:$E$101 = "Individual/Setor") *
  ($F$3:$F$101 = R$2) *
  ($I$3:$I$101)
)</f>
        <v>0</v>
      </c>
      <c r="S6" s="6">
        <f t="array" ref="S6">SUMPRODUCT(
  (MONTH($D$3:$D$101) = MONTH($K6)) *
  (YEAR($D$3:$D$101) = YEAR($K6)) *
  ($E$3:$E$101 = "Individual/Setor") *
  ($F$3:$F$101 = S$2) *
  ($I$3:$I$101)
)</f>
        <v>0</v>
      </c>
      <c r="T6" s="6">
        <f t="array" ref="T6">SUMPRODUCT(
  (MONTH($D$3:$D$101) = MONTH($K6)) *
  (YEAR($D$3:$D$101) = YEAR($K6)) *
  ($E$3:$E$101 = "Individual/Setor") *
  ($F$3:$F$101 = T$2) *
  ($I$3:$I$101)
)</f>
        <v>0</v>
      </c>
    </row>
    <row r="7" spans="1:20" ht="14.25" customHeight="1" x14ac:dyDescent="0.3">
      <c r="A7" s="15">
        <v>45778</v>
      </c>
      <c r="B7" s="6">
        <f>SUMIFS(I:I, D:D, DATE(2025,5,1), E:E, "Estrutura")</f>
        <v>0</v>
      </c>
      <c r="D7" s="15">
        <v>45658</v>
      </c>
      <c r="E7" s="4" t="s">
        <v>23</v>
      </c>
      <c r="F7" s="4" t="s">
        <v>24</v>
      </c>
      <c r="G7" s="4" t="s">
        <v>26</v>
      </c>
      <c r="H7" s="6"/>
      <c r="I7" s="6">
        <v>0</v>
      </c>
      <c r="K7" s="15">
        <v>45778</v>
      </c>
      <c r="L7" s="6">
        <f t="array" ref="L7">SUMPRODUCT(
  (MONTH($D$3:$D$101) = MONTH($K7)) *
  (YEAR($D$3:$D$101) = YEAR($K7)) *
  ($E$3:$E$101 = "Individual/Setor") *
  ($F$3:$F$101 = L$2) *
  ($I$3:$I$101)
)</f>
        <v>0</v>
      </c>
      <c r="M7" s="6">
        <f t="array" ref="M7">SUMPRODUCT(
  (MONTH($D$3:$D$101) = MONTH($K7)) *
  (YEAR($D$3:$D$101) = YEAR($K7)) *
  ($E$3:$E$101 = "Individual/Setor") *
  ($F$3:$F$101 = M$2) *
  ($I$3:$I$101)
)</f>
        <v>0</v>
      </c>
      <c r="N7" s="6">
        <f t="array" ref="N7">SUMPRODUCT(
  (MONTH($D$3:$D$101) = MONTH($K7)) *
  (YEAR($D$3:$D$101) = YEAR($K7)) *
  ($E$3:$E$101 = "Individual/Setor") *
  ($F$3:$F$101 = N$2) *
  ($I$3:$I$101)
)</f>
        <v>0</v>
      </c>
      <c r="O7" s="6">
        <f t="array" ref="O7">SUMPRODUCT(
  (MONTH($D$3:$D$101) = MONTH($K7)) *
  (YEAR($D$3:$D$101) = YEAR($K7)) *
  ($E$3:$E$101 = "Individual/Setor") *
  ($F$3:$F$101 = O$2) *
  ($I$3:$I$101)
)</f>
        <v>0</v>
      </c>
      <c r="P7" s="6">
        <f t="array" ref="P7">SUMPRODUCT(
  (MONTH($D$3:$D$101) = MONTH($K7)) *
  (YEAR($D$3:$D$101) = YEAR($K7)) *
  ($E$3:$E$101 = "Individual/Setor") *
  ($F$3:$F$101 = P$2) *
  ($I$3:$I$101)
)</f>
        <v>0</v>
      </c>
      <c r="Q7" s="6">
        <f t="array" ref="Q7">SUMPRODUCT(
  (MONTH($D$3:$D$101) = MONTH($K7)) *
  (YEAR($D$3:$D$101) = YEAR($K7)) *
  ($E$3:$E$101 = "Individual/Setor") *
  ($F$3:$F$101 = Q$2) *
  ($I$3:$I$101)
)</f>
        <v>0</v>
      </c>
      <c r="R7" s="6">
        <f t="array" ref="R7">SUMPRODUCT(
  (MONTH($D$3:$D$101) = MONTH($K7)) *
  (YEAR($D$3:$D$101) = YEAR($K7)) *
  ($E$3:$E$101 = "Individual/Setor") *
  ($F$3:$F$101 = R$2) *
  ($I$3:$I$101)
)</f>
        <v>0</v>
      </c>
      <c r="S7" s="6">
        <f t="array" ref="S7">SUMPRODUCT(
  (MONTH($D$3:$D$101) = MONTH($K7)) *
  (YEAR($D$3:$D$101) = YEAR($K7)) *
  ($E$3:$E$101 = "Individual/Setor") *
  ($F$3:$F$101 = S$2) *
  ($I$3:$I$101)
)</f>
        <v>0</v>
      </c>
      <c r="T7" s="6">
        <f t="array" ref="T7">SUMPRODUCT(
  (MONTH($D$3:$D$101) = MONTH($K7)) *
  (YEAR($D$3:$D$101) = YEAR($K7)) *
  ($E$3:$E$101 = "Individual/Setor") *
  ($F$3:$F$101 = T$2) *
  ($I$3:$I$101)
)</f>
        <v>0</v>
      </c>
    </row>
    <row r="8" spans="1:20" ht="14.25" customHeight="1" x14ac:dyDescent="0.3">
      <c r="A8" s="15">
        <v>45809</v>
      </c>
      <c r="B8" s="6">
        <f>SUMIFS(I:I, D:D, DATE(2025,6,1), E:E, "Estrutura")</f>
        <v>0</v>
      </c>
      <c r="D8" s="15">
        <v>45658</v>
      </c>
      <c r="E8" s="4" t="s">
        <v>27</v>
      </c>
      <c r="F8" s="4" t="s">
        <v>24</v>
      </c>
      <c r="G8" s="4" t="s">
        <v>28</v>
      </c>
      <c r="H8" s="6"/>
      <c r="I8" s="6">
        <v>0</v>
      </c>
      <c r="K8" s="15">
        <v>45809</v>
      </c>
      <c r="L8" s="6">
        <f t="array" ref="L8">SUMPRODUCT(
  (MONTH($D$3:$D$101) = MONTH($K8)) *
  (YEAR($D$3:$D$101) = YEAR($K8)) *
  ($E$3:$E$101 = "Individual/Setor") *
  ($F$3:$F$101 = L$2) *
  ($I$3:$I$101)
)</f>
        <v>0</v>
      </c>
      <c r="M8" s="6">
        <f t="array" ref="M8">SUMPRODUCT(
  (MONTH($D$3:$D$101) = MONTH($K8)) *
  (YEAR($D$3:$D$101) = YEAR($K8)) *
  ($E$3:$E$101 = "Individual/Setor") *
  ($F$3:$F$101 = M$2) *
  ($I$3:$I$101)
)</f>
        <v>0</v>
      </c>
      <c r="N8" s="6">
        <f t="array" ref="N8">SUMPRODUCT(
  (MONTH($D$3:$D$101) = MONTH($K8)) *
  (YEAR($D$3:$D$101) = YEAR($K8)) *
  ($E$3:$E$101 = "Individual/Setor") *
  ($F$3:$F$101 = N$2) *
  ($I$3:$I$101)
)</f>
        <v>0</v>
      </c>
      <c r="O8" s="6">
        <f t="array" ref="O8">SUMPRODUCT(
  (MONTH($D$3:$D$101) = MONTH($K8)) *
  (YEAR($D$3:$D$101) = YEAR($K8)) *
  ($E$3:$E$101 = "Individual/Setor") *
  ($F$3:$F$101 = O$2) *
  ($I$3:$I$101)
)</f>
        <v>0</v>
      </c>
      <c r="P8" s="6">
        <f t="array" ref="P8">SUMPRODUCT(
  (MONTH($D$3:$D$101) = MONTH($K8)) *
  (YEAR($D$3:$D$101) = YEAR($K8)) *
  ($E$3:$E$101 = "Individual/Setor") *
  ($F$3:$F$101 = P$2) *
  ($I$3:$I$101)
)</f>
        <v>0</v>
      </c>
      <c r="Q8" s="6">
        <f t="array" ref="Q8">SUMPRODUCT(
  (MONTH($D$3:$D$101) = MONTH($K8)) *
  (YEAR($D$3:$D$101) = YEAR($K8)) *
  ($E$3:$E$101 = "Individual/Setor") *
  ($F$3:$F$101 = Q$2) *
  ($I$3:$I$101)
)</f>
        <v>0</v>
      </c>
      <c r="R8" s="6">
        <f t="array" ref="R8">SUMPRODUCT(
  (MONTH($D$3:$D$101) = MONTH($K8)) *
  (YEAR($D$3:$D$101) = YEAR($K8)) *
  ($E$3:$E$101 = "Individual/Setor") *
  ($F$3:$F$101 = R$2) *
  ($I$3:$I$101)
)</f>
        <v>0</v>
      </c>
      <c r="S8" s="6">
        <f t="array" ref="S8">SUMPRODUCT(
  (MONTH($D$3:$D$101) = MONTH($K8)) *
  (YEAR($D$3:$D$101) = YEAR($K8)) *
  ($E$3:$E$101 = "Individual/Setor") *
  ($F$3:$F$101 = S$2) *
  ($I$3:$I$101)
)</f>
        <v>0</v>
      </c>
      <c r="T8" s="6">
        <f t="array" ref="T8">SUMPRODUCT(
  (MONTH($D$3:$D$101) = MONTH($K8)) *
  (YEAR($D$3:$D$101) = YEAR($K8)) *
  ($E$3:$E$101 = "Individual/Setor") *
  ($F$3:$F$101 = T$2) *
  ($I$3:$I$101)
)</f>
        <v>0</v>
      </c>
    </row>
    <row r="9" spans="1:20" ht="14.25" customHeight="1" x14ac:dyDescent="0.3">
      <c r="A9" s="15">
        <v>45839</v>
      </c>
      <c r="B9" s="6">
        <f>SUMIFS(I:I, D:D, DATE(2025,7,1), E:E, "Estrutura")</f>
        <v>0</v>
      </c>
      <c r="D9" s="15">
        <v>45689</v>
      </c>
      <c r="E9" s="4" t="s">
        <v>23</v>
      </c>
      <c r="F9" s="4" t="s">
        <v>24</v>
      </c>
      <c r="G9" s="4" t="s">
        <v>28</v>
      </c>
      <c r="H9" s="6"/>
      <c r="I9" s="6">
        <v>0</v>
      </c>
      <c r="K9" s="15">
        <v>45839</v>
      </c>
      <c r="L9" s="6">
        <f t="array" ref="L9">SUMPRODUCT(
  (MONTH($D$3:$D$101) = MONTH($K9)) *
  (YEAR($D$3:$D$101) = YEAR($K9)) *
  ($E$3:$E$101 = "Individual/Setor") *
  ($F$3:$F$101 = L$2) *
  ($I$3:$I$101)
)</f>
        <v>0</v>
      </c>
      <c r="M9" s="6">
        <f t="array" ref="M9">SUMPRODUCT(
  (MONTH($D$3:$D$101) = MONTH($K9)) *
  (YEAR($D$3:$D$101) = YEAR($K9)) *
  ($E$3:$E$101 = "Individual/Setor") *
  ($F$3:$F$101 = M$2) *
  ($I$3:$I$101)
)</f>
        <v>0</v>
      </c>
      <c r="N9" s="6">
        <f t="array" ref="N9">SUMPRODUCT(
  (MONTH($D$3:$D$101) = MONTH($K9)) *
  (YEAR($D$3:$D$101) = YEAR($K9)) *
  ($E$3:$E$101 = "Individual/Setor") *
  ($F$3:$F$101 = N$2) *
  ($I$3:$I$101)
)</f>
        <v>0</v>
      </c>
      <c r="O9" s="6">
        <f t="array" ref="O9">SUMPRODUCT(
  (MONTH($D$3:$D$101) = MONTH($K9)) *
  (YEAR($D$3:$D$101) = YEAR($K9)) *
  ($E$3:$E$101 = "Individual/Setor") *
  ($F$3:$F$101 = O$2) *
  ($I$3:$I$101)
)</f>
        <v>0</v>
      </c>
      <c r="P9" s="6">
        <f t="array" ref="P9">SUMPRODUCT(
  (MONTH($D$3:$D$101) = MONTH($K9)) *
  (YEAR($D$3:$D$101) = YEAR($K9)) *
  ($E$3:$E$101 = "Individual/Setor") *
  ($F$3:$F$101 = P$2) *
  ($I$3:$I$101)
)</f>
        <v>0</v>
      </c>
      <c r="Q9" s="6">
        <f t="array" ref="Q9">SUMPRODUCT(
  (MONTH($D$3:$D$101) = MONTH($K9)) *
  (YEAR($D$3:$D$101) = YEAR($K9)) *
  ($E$3:$E$101 = "Individual/Setor") *
  ($F$3:$F$101 = Q$2) *
  ($I$3:$I$101)
)</f>
        <v>0</v>
      </c>
      <c r="R9" s="6">
        <f t="array" ref="R9">SUMPRODUCT(
  (MONTH($D$3:$D$101) = MONTH($K9)) *
  (YEAR($D$3:$D$101) = YEAR($K9)) *
  ($E$3:$E$101 = "Individual/Setor") *
  ($F$3:$F$101 = R$2) *
  ($I$3:$I$101)
)</f>
        <v>0</v>
      </c>
      <c r="S9" s="6">
        <f t="array" ref="S9">SUMPRODUCT(
  (MONTH($D$3:$D$101) = MONTH($K9)) *
  (YEAR($D$3:$D$101) = YEAR($K9)) *
  ($E$3:$E$101 = "Individual/Setor") *
  ($F$3:$F$101 = S$2) *
  ($I$3:$I$101)
)</f>
        <v>0</v>
      </c>
      <c r="T9" s="6">
        <f t="array" ref="T9">SUMPRODUCT(
  (MONTH($D$3:$D$101) = MONTH($K9)) *
  (YEAR($D$3:$D$101) = YEAR($K9)) *
  ($E$3:$E$101 = "Individual/Setor") *
  ($F$3:$F$101 = T$2) *
  ($I$3:$I$101)
)</f>
        <v>0</v>
      </c>
    </row>
    <row r="10" spans="1:20" ht="14.25" customHeight="1" x14ac:dyDescent="0.3">
      <c r="A10" s="15">
        <v>45870</v>
      </c>
      <c r="B10" s="6">
        <f>SUMIFS(I:I, D:D, DATE(2025,8,1), E:E, "Estrutura")</f>
        <v>0</v>
      </c>
      <c r="C10" s="4"/>
      <c r="D10" s="15">
        <v>45689</v>
      </c>
      <c r="E10" s="4" t="s">
        <v>23</v>
      </c>
      <c r="F10" s="4" t="s">
        <v>24</v>
      </c>
      <c r="G10" s="4" t="s">
        <v>29</v>
      </c>
      <c r="H10" s="6"/>
      <c r="I10" s="6">
        <v>0</v>
      </c>
      <c r="K10" s="15">
        <v>45870</v>
      </c>
      <c r="L10" s="6">
        <f t="array" ref="L10">SUMPRODUCT(
  (MONTH($D$3:$D$101) = MONTH($K10)) *
  (YEAR($D$3:$D$101) = YEAR($K10)) *
  ($E$3:$E$101 = "Individual/Setor") *
  ($F$3:$F$101 = L$2) *
  ($I$3:$I$101)
)</f>
        <v>0</v>
      </c>
      <c r="M10" s="6">
        <f t="array" ref="M10">SUMPRODUCT(
  (MONTH($D$3:$D$101) = MONTH($K10)) *
  (YEAR($D$3:$D$101) = YEAR($K10)) *
  ($E$3:$E$101 = "Individual/Setor") *
  ($F$3:$F$101 = M$2) *
  ($I$3:$I$101)
)</f>
        <v>0</v>
      </c>
      <c r="N10" s="6">
        <f t="array" ref="N10">SUMPRODUCT(
  (MONTH($D$3:$D$101) = MONTH($K10)) *
  (YEAR($D$3:$D$101) = YEAR($K10)) *
  ($E$3:$E$101 = "Individual/Setor") *
  ($F$3:$F$101 = N$2) *
  ($I$3:$I$101)
)</f>
        <v>0</v>
      </c>
      <c r="O10" s="6">
        <f t="array" ref="O10">SUMPRODUCT(
  (MONTH($D$3:$D$101) = MONTH($K10)) *
  (YEAR($D$3:$D$101) = YEAR($K10)) *
  ($E$3:$E$101 = "Individual/Setor") *
  ($F$3:$F$101 = O$2) *
  ($I$3:$I$101)
)</f>
        <v>0</v>
      </c>
      <c r="P10" s="6">
        <f t="array" ref="P10">SUMPRODUCT(
  (MONTH($D$3:$D$101) = MONTH($K10)) *
  (YEAR($D$3:$D$101) = YEAR($K10)) *
  ($E$3:$E$101 = "Individual/Setor") *
  ($F$3:$F$101 = P$2) *
  ($I$3:$I$101)
)</f>
        <v>0</v>
      </c>
      <c r="Q10" s="6">
        <f t="array" ref="Q10">SUMPRODUCT(
  (MONTH($D$3:$D$101) = MONTH($K10)) *
  (YEAR($D$3:$D$101) = YEAR($K10)) *
  ($E$3:$E$101 = "Individual/Setor") *
  ($F$3:$F$101 = Q$2) *
  ($I$3:$I$101)
)</f>
        <v>0</v>
      </c>
      <c r="R10" s="6">
        <f t="array" ref="R10">SUMPRODUCT(
  (MONTH($D$3:$D$101) = MONTH($K10)) *
  (YEAR($D$3:$D$101) = YEAR($K10)) *
  ($E$3:$E$101 = "Individual/Setor") *
  ($F$3:$F$101 = R$2) *
  ($I$3:$I$101)
)</f>
        <v>0</v>
      </c>
      <c r="S10" s="6">
        <f t="array" ref="S10">SUMPRODUCT(
  (MONTH($D$3:$D$101) = MONTH($K10)) *
  (YEAR($D$3:$D$101) = YEAR($K10)) *
  ($E$3:$E$101 = "Individual/Setor") *
  ($F$3:$F$101 = S$2) *
  ($I$3:$I$101)
)</f>
        <v>0</v>
      </c>
      <c r="T10" s="6">
        <f t="array" ref="T10">SUMPRODUCT(
  (MONTH($D$3:$D$101) = MONTH($K10)) *
  (YEAR($D$3:$D$101) = YEAR($K10)) *
  ($E$3:$E$101 = "Individual/Setor") *
  ($F$3:$F$101 = T$2) *
  ($I$3:$I$101)
)</f>
        <v>0</v>
      </c>
    </row>
    <row r="11" spans="1:20" ht="14.25" customHeight="1" x14ac:dyDescent="0.3">
      <c r="A11" s="15">
        <v>45901</v>
      </c>
      <c r="B11" s="6">
        <f>SUMIFS(I:I, D:D, DATE(2025,9,1), E:E, "Estrutura")</f>
        <v>0</v>
      </c>
      <c r="D11" s="15">
        <v>45870</v>
      </c>
      <c r="E11" s="4" t="s">
        <v>27</v>
      </c>
      <c r="F11" s="4" t="s">
        <v>9</v>
      </c>
      <c r="G11" s="4" t="s">
        <v>25</v>
      </c>
      <c r="H11" s="6"/>
      <c r="I11" s="6">
        <v>0</v>
      </c>
      <c r="K11" s="15">
        <v>45901</v>
      </c>
      <c r="L11" s="6">
        <f t="array" ref="L11">SUMPRODUCT(
  (MONTH($D$3:$D$101) = MONTH($K11)) *
  (YEAR($D$3:$D$101) = YEAR($K11)) *
  ($E$3:$E$101 = "Individual/Setor") *
  ($F$3:$F$101 = L$2) *
  ($I$3:$I$101)
)</f>
        <v>0</v>
      </c>
      <c r="M11" s="6">
        <f t="array" ref="M11">SUMPRODUCT(
  (MONTH($D$3:$D$101) = MONTH($K11)) *
  (YEAR($D$3:$D$101) = YEAR($K11)) *
  ($E$3:$E$101 = "Individual/Setor") *
  ($F$3:$F$101 = M$2) *
  ($I$3:$I$101)
)</f>
        <v>0</v>
      </c>
      <c r="N11" s="6">
        <f t="array" ref="N11">SUMPRODUCT(
  (MONTH($D$3:$D$101) = MONTH($K11)) *
  (YEAR($D$3:$D$101) = YEAR($K11)) *
  ($E$3:$E$101 = "Individual/Setor") *
  ($F$3:$F$101 = N$2) *
  ($I$3:$I$101)
)</f>
        <v>0</v>
      </c>
      <c r="O11" s="6">
        <f t="array" ref="O11">SUMPRODUCT(
  (MONTH($D$3:$D$101) = MONTH($K11)) *
  (YEAR($D$3:$D$101) = YEAR($K11)) *
  ($E$3:$E$101 = "Individual/Setor") *
  ($F$3:$F$101 = O$2) *
  ($I$3:$I$101)
)</f>
        <v>0</v>
      </c>
      <c r="P11" s="6">
        <f t="array" ref="P11">SUMPRODUCT(
  (MONTH($D$3:$D$101) = MONTH($K11)) *
  (YEAR($D$3:$D$101) = YEAR($K11)) *
  ($E$3:$E$101 = "Individual/Setor") *
  ($F$3:$F$101 = P$2) *
  ($I$3:$I$101)
)</f>
        <v>0</v>
      </c>
      <c r="Q11" s="6">
        <f t="array" ref="Q11">SUMPRODUCT(
  (MONTH($D$3:$D$101) = MONTH($K11)) *
  (YEAR($D$3:$D$101) = YEAR($K11)) *
  ($E$3:$E$101 = "Individual/Setor") *
  ($F$3:$F$101 = Q$2) *
  ($I$3:$I$101)
)</f>
        <v>0</v>
      </c>
      <c r="R11" s="6">
        <f t="array" ref="R11">SUMPRODUCT(
  (MONTH($D$3:$D$101) = MONTH($K11)) *
  (YEAR($D$3:$D$101) = YEAR($K11)) *
  ($E$3:$E$101 = "Individual/Setor") *
  ($F$3:$F$101 = R$2) *
  ($I$3:$I$101)
)</f>
        <v>0</v>
      </c>
      <c r="S11" s="6">
        <f t="array" ref="S11">SUMPRODUCT(
  (MONTH($D$3:$D$101) = MONTH($K11)) *
  (YEAR($D$3:$D$101) = YEAR($K11)) *
  ($E$3:$E$101 = "Individual/Setor") *
  ($F$3:$F$101 = S$2) *
  ($I$3:$I$101)
)</f>
        <v>0</v>
      </c>
      <c r="T11" s="6">
        <f t="array" ref="T11">SUMPRODUCT(
  (MONTH($D$3:$D$101) = MONTH($K11)) *
  (YEAR($D$3:$D$101) = YEAR($K11)) *
  ($E$3:$E$101 = "Individual/Setor") *
  ($F$3:$F$101 = T$2) *
  ($I$3:$I$101)
)</f>
        <v>0</v>
      </c>
    </row>
    <row r="12" spans="1:20" ht="14.25" customHeight="1" x14ac:dyDescent="0.3">
      <c r="A12" s="15">
        <v>45931</v>
      </c>
      <c r="B12" s="6">
        <f>SUMIFS(I:I, D:D, DATE(2025,10,1), E:E, "Estrutura")</f>
        <v>0</v>
      </c>
      <c r="D12" s="15">
        <v>45689</v>
      </c>
      <c r="E12" s="4" t="s">
        <v>23</v>
      </c>
      <c r="F12" s="4" t="s">
        <v>24</v>
      </c>
      <c r="G12" s="4" t="s">
        <v>25</v>
      </c>
      <c r="H12" s="6"/>
      <c r="I12" s="6">
        <v>0</v>
      </c>
      <c r="K12" s="15">
        <v>45931</v>
      </c>
      <c r="L12" s="6">
        <f t="array" ref="L12">SUMPRODUCT(
  (MONTH($D$3:$D$101) = MONTH($K12)) *
  (YEAR($D$3:$D$101) = YEAR($K12)) *
  ($E$3:$E$101 = "Individual/Setor") *
  ($F$3:$F$101 = L$2) *
  ($I$3:$I$101)
)</f>
        <v>0</v>
      </c>
      <c r="M12" s="6">
        <f t="array" ref="M12">SUMPRODUCT(
  (MONTH($D$3:$D$101) = MONTH($K12)) *
  (YEAR($D$3:$D$101) = YEAR($K12)) *
  ($E$3:$E$101 = "Individual/Setor") *
  ($F$3:$F$101 = M$2) *
  ($I$3:$I$101)
)</f>
        <v>0</v>
      </c>
      <c r="N12" s="6">
        <f t="array" ref="N12">SUMPRODUCT(
  (MONTH($D$3:$D$101) = MONTH($K12)) *
  (YEAR($D$3:$D$101) = YEAR($K12)) *
  ($E$3:$E$101 = "Individual/Setor") *
  ($F$3:$F$101 = N$2) *
  ($I$3:$I$101)
)</f>
        <v>0</v>
      </c>
      <c r="O12" s="6">
        <f t="array" ref="O12">SUMPRODUCT(
  (MONTH($D$3:$D$101) = MONTH($K12)) *
  (YEAR($D$3:$D$101) = YEAR($K12)) *
  ($E$3:$E$101 = "Individual/Setor") *
  ($F$3:$F$101 = O$2) *
  ($I$3:$I$101)
)</f>
        <v>0</v>
      </c>
      <c r="P12" s="6">
        <f t="array" ref="P12">SUMPRODUCT(
  (MONTH($D$3:$D$101) = MONTH($K12)) *
  (YEAR($D$3:$D$101) = YEAR($K12)) *
  ($E$3:$E$101 = "Individual/Setor") *
  ($F$3:$F$101 = P$2) *
  ($I$3:$I$101)
)</f>
        <v>0</v>
      </c>
      <c r="Q12" s="6">
        <f t="array" ref="Q12">SUMPRODUCT(
  (MONTH($D$3:$D$101) = MONTH($K12)) *
  (YEAR($D$3:$D$101) = YEAR($K12)) *
  ($E$3:$E$101 = "Individual/Setor") *
  ($F$3:$F$101 = Q$2) *
  ($I$3:$I$101)
)</f>
        <v>0</v>
      </c>
      <c r="R12" s="6">
        <f t="array" ref="R12">SUMPRODUCT(
  (MONTH($D$3:$D$101) = MONTH($K12)) *
  (YEAR($D$3:$D$101) = YEAR($K12)) *
  ($E$3:$E$101 = "Individual/Setor") *
  ($F$3:$F$101 = R$2) *
  ($I$3:$I$101)
)</f>
        <v>0</v>
      </c>
      <c r="S12" s="6">
        <f t="array" ref="S12">SUMPRODUCT(
  (MONTH($D$3:$D$101) = MONTH($K12)) *
  (YEAR($D$3:$D$101) = YEAR($K12)) *
  ($E$3:$E$101 = "Individual/Setor") *
  ($F$3:$F$101 = S$2) *
  ($I$3:$I$101)
)</f>
        <v>0</v>
      </c>
      <c r="T12" s="6">
        <f t="array" ref="T12">SUMPRODUCT(
  (MONTH($D$3:$D$101) = MONTH($K12)) *
  (YEAR($D$3:$D$101) = YEAR($K12)) *
  ($E$3:$E$101 = "Individual/Setor") *
  ($F$3:$F$101 = T$2) *
  ($I$3:$I$101)
)</f>
        <v>0</v>
      </c>
    </row>
    <row r="13" spans="1:20" ht="14.25" customHeight="1" x14ac:dyDescent="0.3">
      <c r="A13" s="15">
        <v>45962</v>
      </c>
      <c r="B13" s="6">
        <f>SUMIFS(I:I, D:D, DATE(2025,11,1), E:E, "Estrutura")</f>
        <v>0</v>
      </c>
      <c r="D13" s="5"/>
      <c r="H13" s="6"/>
      <c r="I13" s="6">
        <v>0</v>
      </c>
      <c r="K13" s="15">
        <v>45962</v>
      </c>
      <c r="L13" s="6">
        <f t="array" ref="L13">SUMPRODUCT(
  (MONTH($D$3:$D$101) = MONTH($K13)) *
  (YEAR($D$3:$D$101) = YEAR($K13)) *
  ($E$3:$E$101 = "Individual/Setor") *
  ($F$3:$F$101 = L$2) *
  ($I$3:$I$101)
)</f>
        <v>0</v>
      </c>
      <c r="M13" s="6">
        <f t="array" ref="M13">SUMPRODUCT(
  (MONTH($D$3:$D$101) = MONTH($K13)) *
  (YEAR($D$3:$D$101) = YEAR($K13)) *
  ($E$3:$E$101 = "Individual/Setor") *
  ($F$3:$F$101 = M$2) *
  ($I$3:$I$101)
)</f>
        <v>0</v>
      </c>
      <c r="N13" s="6">
        <f t="array" ref="N13">SUMPRODUCT(
  (MONTH($D$3:$D$101) = MONTH($K13)) *
  (YEAR($D$3:$D$101) = YEAR($K13)) *
  ($E$3:$E$101 = "Individual/Setor") *
  ($F$3:$F$101 = N$2) *
  ($I$3:$I$101)
)</f>
        <v>0</v>
      </c>
      <c r="O13" s="6">
        <f t="array" ref="O13">SUMPRODUCT(
  (MONTH($D$3:$D$101) = MONTH($K13)) *
  (YEAR($D$3:$D$101) = YEAR($K13)) *
  ($E$3:$E$101 = "Individual/Setor") *
  ($F$3:$F$101 = O$2) *
  ($I$3:$I$101)
)</f>
        <v>0</v>
      </c>
      <c r="P13" s="6">
        <f t="array" ref="P13">SUMPRODUCT(
  (MONTH($D$3:$D$101) = MONTH($K13)) *
  (YEAR($D$3:$D$101) = YEAR($K13)) *
  ($E$3:$E$101 = "Individual/Setor") *
  ($F$3:$F$101 = P$2) *
  ($I$3:$I$101)
)</f>
        <v>0</v>
      </c>
      <c r="Q13" s="6">
        <f t="array" ref="Q13">SUMPRODUCT(
  (MONTH($D$3:$D$101) = MONTH($K13)) *
  (YEAR($D$3:$D$101) = YEAR($K13)) *
  ($E$3:$E$101 = "Individual/Setor") *
  ($F$3:$F$101 = Q$2) *
  ($I$3:$I$101)
)</f>
        <v>0</v>
      </c>
      <c r="R13" s="6">
        <f t="array" ref="R13">SUMPRODUCT(
  (MONTH($D$3:$D$101) = MONTH($K13)) *
  (YEAR($D$3:$D$101) = YEAR($K13)) *
  ($E$3:$E$101 = "Individual/Setor") *
  ($F$3:$F$101 = R$2) *
  ($I$3:$I$101)
)</f>
        <v>0</v>
      </c>
      <c r="S13" s="6">
        <f t="array" ref="S13">SUMPRODUCT(
  (MONTH($D$3:$D$101) = MONTH($K13)) *
  (YEAR($D$3:$D$101) = YEAR($K13)) *
  ($E$3:$E$101 = "Individual/Setor") *
  ($F$3:$F$101 = S$2) *
  ($I$3:$I$101)
)</f>
        <v>0</v>
      </c>
      <c r="T13" s="6">
        <f t="array" ref="T13">SUMPRODUCT(
  (MONTH($D$3:$D$101) = MONTH($K13)) *
  (YEAR($D$3:$D$101) = YEAR($K13)) *
  ($E$3:$E$101 = "Individual/Setor") *
  ($F$3:$F$101 = T$2) *
  ($I$3:$I$101)
)</f>
        <v>0</v>
      </c>
    </row>
    <row r="14" spans="1:20" ht="14.25" customHeight="1" x14ac:dyDescent="0.3">
      <c r="A14" s="15">
        <v>45992</v>
      </c>
      <c r="B14" s="6">
        <f>SUMIFS(I:I, D:D, DATE(2025,12,1), E:E, "Estrutura")</f>
        <v>0</v>
      </c>
      <c r="D14" s="5"/>
      <c r="H14" s="6"/>
      <c r="I14" s="6">
        <v>0</v>
      </c>
      <c r="K14" s="15">
        <v>45992</v>
      </c>
      <c r="L14" s="6">
        <f t="array" ref="L14">SUMPRODUCT(
  (MONTH($D$3:$D$101) = MONTH($K14)) *
  (YEAR($D$3:$D$101) = YEAR($K14)) *
  ($E$3:$E$101 = "Individual/Setor") *
  ($F$3:$F$101 = L$2) *
  ($I$3:$I$101)
)</f>
        <v>0</v>
      </c>
      <c r="M14" s="6">
        <f t="array" ref="M14">SUMPRODUCT(
  (MONTH($D$3:$D$101) = MONTH($K14)) *
  (YEAR($D$3:$D$101) = YEAR($K14)) *
  ($E$3:$E$101 = "Individual/Setor") *
  ($F$3:$F$101 = M$2) *
  ($I$3:$I$101)
)</f>
        <v>0</v>
      </c>
      <c r="N14" s="6">
        <f t="array" ref="N14">SUMPRODUCT(
  (MONTH($D$3:$D$101) = MONTH($K14)) *
  (YEAR($D$3:$D$101) = YEAR($K14)) *
  ($E$3:$E$101 = "Individual/Setor") *
  ($F$3:$F$101 = N$2) *
  ($I$3:$I$101)
)</f>
        <v>0</v>
      </c>
      <c r="O14" s="6">
        <f t="array" ref="O14">SUMPRODUCT(
  (MONTH($D$3:$D$101) = MONTH($K14)) *
  (YEAR($D$3:$D$101) = YEAR($K14)) *
  ($E$3:$E$101 = "Individual/Setor") *
  ($F$3:$F$101 = O$2) *
  ($I$3:$I$101)
)</f>
        <v>0</v>
      </c>
      <c r="P14" s="6">
        <f t="array" ref="P14">SUMPRODUCT(
  (MONTH($D$3:$D$101) = MONTH($K14)) *
  (YEAR($D$3:$D$101) = YEAR($K14)) *
  ($E$3:$E$101 = "Individual/Setor") *
  ($F$3:$F$101 = P$2) *
  ($I$3:$I$101)
)</f>
        <v>0</v>
      </c>
      <c r="Q14" s="6">
        <f t="array" ref="Q14">SUMPRODUCT(
  (MONTH($D$3:$D$101) = MONTH($K14)) *
  (YEAR($D$3:$D$101) = YEAR($K14)) *
  ($E$3:$E$101 = "Individual/Setor") *
  ($F$3:$F$101 = Q$2) *
  ($I$3:$I$101)
)</f>
        <v>0</v>
      </c>
      <c r="R14" s="6">
        <f t="array" ref="R14">SUMPRODUCT(
  (MONTH($D$3:$D$101) = MONTH($K14)) *
  (YEAR($D$3:$D$101) = YEAR($K14)) *
  ($E$3:$E$101 = "Individual/Setor") *
  ($F$3:$F$101 = R$2) *
  ($I$3:$I$101)
)</f>
        <v>0</v>
      </c>
      <c r="S14" s="6">
        <f t="array" ref="S14">SUMPRODUCT(
  (MONTH($D$3:$D$101) = MONTH($K14)) *
  (YEAR($D$3:$D$101) = YEAR($K14)) *
  ($E$3:$E$101 = "Individual/Setor") *
  ($F$3:$F$101 = S$2) *
  ($I$3:$I$101)
)</f>
        <v>0</v>
      </c>
      <c r="T14" s="6">
        <f t="array" ref="T14">SUMPRODUCT(
  (MONTH($D$3:$D$101) = MONTH($K14)) *
  (YEAR($D$3:$D$101) = YEAR($K14)) *
  ($E$3:$E$101 = "Individual/Setor") *
  ($F$3:$F$101 = T$2) *
  ($I$3:$I$101)
)</f>
        <v>0</v>
      </c>
    </row>
    <row r="15" spans="1:20" ht="14.25" customHeight="1" x14ac:dyDescent="0.3">
      <c r="A15" s="4" t="s">
        <v>30</v>
      </c>
      <c r="B15" s="6">
        <f>SUM(B3:B14)</f>
        <v>0</v>
      </c>
      <c r="D15" s="5"/>
      <c r="H15" s="6"/>
      <c r="I15" s="6">
        <v>0</v>
      </c>
    </row>
    <row r="16" spans="1:20" ht="14.25" customHeight="1" x14ac:dyDescent="0.3">
      <c r="D16" s="5"/>
      <c r="H16" s="6"/>
      <c r="I16" s="6">
        <v>0</v>
      </c>
    </row>
    <row r="17" spans="4:9" ht="14.25" customHeight="1" x14ac:dyDescent="0.3">
      <c r="D17" s="5"/>
      <c r="H17" s="6"/>
      <c r="I17" s="6">
        <v>0</v>
      </c>
    </row>
    <row r="18" spans="4:9" ht="14.25" customHeight="1" x14ac:dyDescent="0.3">
      <c r="D18" s="5"/>
      <c r="H18" s="6"/>
      <c r="I18" s="6">
        <v>0</v>
      </c>
    </row>
    <row r="19" spans="4:9" ht="14.25" customHeight="1" x14ac:dyDescent="0.3">
      <c r="D19" s="5"/>
      <c r="H19" s="6"/>
      <c r="I19" s="6"/>
    </row>
    <row r="20" spans="4:9" ht="14.25" customHeight="1" x14ac:dyDescent="0.3">
      <c r="D20" s="5"/>
      <c r="H20" s="6"/>
      <c r="I20" s="6"/>
    </row>
    <row r="21" spans="4:9" ht="14.25" customHeight="1" x14ac:dyDescent="0.3">
      <c r="D21" s="5"/>
      <c r="H21" s="6"/>
      <c r="I21" s="6"/>
    </row>
    <row r="22" spans="4:9" ht="14.25" customHeight="1" x14ac:dyDescent="0.3">
      <c r="D22" s="5"/>
      <c r="H22" s="6"/>
      <c r="I22" s="6"/>
    </row>
    <row r="23" spans="4:9" ht="14.25" customHeight="1" x14ac:dyDescent="0.3">
      <c r="D23" s="5"/>
      <c r="H23" s="6"/>
      <c r="I23" s="6"/>
    </row>
    <row r="24" spans="4:9" ht="14.25" customHeight="1" x14ac:dyDescent="0.3">
      <c r="D24" s="5"/>
      <c r="H24" s="6"/>
      <c r="I24" s="6"/>
    </row>
    <row r="25" spans="4:9" ht="14.25" customHeight="1" x14ac:dyDescent="0.3">
      <c r="D25" s="5"/>
      <c r="I25" s="6"/>
    </row>
    <row r="26" spans="4:9" ht="14.25" customHeight="1" x14ac:dyDescent="0.3">
      <c r="D26" s="5"/>
      <c r="I26" s="6"/>
    </row>
    <row r="27" spans="4:9" ht="14.25" customHeight="1" x14ac:dyDescent="0.3">
      <c r="D27" s="5"/>
      <c r="I27" s="6"/>
    </row>
    <row r="28" spans="4:9" ht="14.25" customHeight="1" x14ac:dyDescent="0.3">
      <c r="D28" s="5"/>
      <c r="I28" s="6"/>
    </row>
    <row r="29" spans="4:9" ht="14.25" customHeight="1" x14ac:dyDescent="0.3">
      <c r="D29" s="5"/>
      <c r="I29" s="6"/>
    </row>
    <row r="30" spans="4:9" ht="14.25" customHeight="1" x14ac:dyDescent="0.3">
      <c r="D30" s="5"/>
      <c r="I30" s="6"/>
    </row>
    <row r="31" spans="4:9" ht="14.25" customHeight="1" x14ac:dyDescent="0.3">
      <c r="D31" s="5"/>
      <c r="I31" s="6"/>
    </row>
    <row r="32" spans="4:9" ht="14.25" customHeight="1" x14ac:dyDescent="0.3">
      <c r="D32" s="5"/>
      <c r="I32" s="6"/>
    </row>
    <row r="33" spans="4:9" ht="14.25" customHeight="1" x14ac:dyDescent="0.3">
      <c r="D33" s="5"/>
      <c r="I33" s="6"/>
    </row>
    <row r="34" spans="4:9" ht="14.25" customHeight="1" x14ac:dyDescent="0.3">
      <c r="D34" s="5"/>
      <c r="I34" s="6"/>
    </row>
    <row r="35" spans="4:9" ht="14.25" customHeight="1" x14ac:dyDescent="0.3">
      <c r="D35" s="5"/>
      <c r="I35" s="6"/>
    </row>
    <row r="36" spans="4:9" ht="14.25" customHeight="1" x14ac:dyDescent="0.3">
      <c r="D36" s="5"/>
      <c r="I36" s="6"/>
    </row>
    <row r="37" spans="4:9" ht="14.25" customHeight="1" x14ac:dyDescent="0.3">
      <c r="D37" s="5"/>
      <c r="I37" s="6"/>
    </row>
    <row r="38" spans="4:9" ht="14.25" customHeight="1" x14ac:dyDescent="0.3">
      <c r="D38" s="5"/>
    </row>
    <row r="39" spans="4:9" ht="14.25" customHeight="1" x14ac:dyDescent="0.3">
      <c r="D39" s="5"/>
    </row>
    <row r="40" spans="4:9" ht="14.25" customHeight="1" x14ac:dyDescent="0.3">
      <c r="D40" s="5"/>
    </row>
    <row r="41" spans="4:9" ht="14.25" customHeight="1" x14ac:dyDescent="0.3">
      <c r="D41" s="5"/>
    </row>
    <row r="42" spans="4:9" ht="14.25" customHeight="1" x14ac:dyDescent="0.3">
      <c r="D42" s="5"/>
    </row>
    <row r="43" spans="4:9" ht="14.25" customHeight="1" x14ac:dyDescent="0.3">
      <c r="D43" s="5"/>
    </row>
    <row r="44" spans="4:9" ht="14.25" customHeight="1" x14ac:dyDescent="0.3">
      <c r="D44" s="5"/>
    </row>
    <row r="45" spans="4:9" ht="14.25" customHeight="1" x14ac:dyDescent="0.3">
      <c r="D45" s="5"/>
    </row>
    <row r="46" spans="4:9" ht="14.25" customHeight="1" x14ac:dyDescent="0.3">
      <c r="D46" s="5"/>
    </row>
    <row r="47" spans="4:9" ht="14.25" customHeight="1" x14ac:dyDescent="0.3">
      <c r="D47" s="5"/>
    </row>
    <row r="48" spans="4:9" ht="14.25" customHeight="1" x14ac:dyDescent="0.3">
      <c r="D48" s="5"/>
    </row>
    <row r="49" spans="4:4" ht="14.25" customHeight="1" x14ac:dyDescent="0.3">
      <c r="D49" s="5"/>
    </row>
    <row r="50" spans="4:4" ht="14.25" customHeight="1" x14ac:dyDescent="0.3">
      <c r="D50" s="5"/>
    </row>
    <row r="51" spans="4:4" ht="14.25" customHeight="1" x14ac:dyDescent="0.3">
      <c r="D51" s="5"/>
    </row>
    <row r="52" spans="4:4" ht="14.25" customHeight="1" x14ac:dyDescent="0.3">
      <c r="D52" s="5"/>
    </row>
    <row r="53" spans="4:4" ht="14.25" customHeight="1" x14ac:dyDescent="0.3">
      <c r="D53" s="5"/>
    </row>
    <row r="54" spans="4:4" ht="14.25" customHeight="1" x14ac:dyDescent="0.3">
      <c r="D54" s="5"/>
    </row>
    <row r="55" spans="4:4" ht="14.25" customHeight="1" x14ac:dyDescent="0.3">
      <c r="D55" s="5"/>
    </row>
    <row r="56" spans="4:4" ht="14.25" customHeight="1" x14ac:dyDescent="0.3">
      <c r="D56" s="5"/>
    </row>
    <row r="57" spans="4:4" ht="14.25" customHeight="1" x14ac:dyDescent="0.3">
      <c r="D57" s="5"/>
    </row>
    <row r="58" spans="4:4" ht="14.25" customHeight="1" x14ac:dyDescent="0.3">
      <c r="D58" s="5"/>
    </row>
    <row r="59" spans="4:4" ht="14.25" customHeight="1" x14ac:dyDescent="0.3">
      <c r="D59" s="5"/>
    </row>
    <row r="60" spans="4:4" ht="14.25" customHeight="1" x14ac:dyDescent="0.3">
      <c r="D60" s="5"/>
    </row>
    <row r="61" spans="4:4" ht="14.25" customHeight="1" x14ac:dyDescent="0.3">
      <c r="D61" s="5"/>
    </row>
    <row r="62" spans="4:4" ht="14.25" customHeight="1" x14ac:dyDescent="0.3">
      <c r="D62" s="5"/>
    </row>
    <row r="63" spans="4:4" ht="14.25" customHeight="1" x14ac:dyDescent="0.3">
      <c r="D63" s="5"/>
    </row>
    <row r="64" spans="4:4" ht="14.25" customHeight="1" x14ac:dyDescent="0.3">
      <c r="D64" s="5"/>
    </row>
    <row r="65" spans="4:4" ht="14.25" customHeight="1" x14ac:dyDescent="0.3">
      <c r="D65" s="5"/>
    </row>
    <row r="66" spans="4:4" ht="14.25" customHeight="1" x14ac:dyDescent="0.3">
      <c r="D66" s="5"/>
    </row>
    <row r="67" spans="4:4" ht="14.25" customHeight="1" x14ac:dyDescent="0.3">
      <c r="D67" s="5"/>
    </row>
    <row r="68" spans="4:4" ht="14.25" customHeight="1" x14ac:dyDescent="0.3">
      <c r="D68" s="5"/>
    </row>
    <row r="69" spans="4:4" ht="14.25" customHeight="1" x14ac:dyDescent="0.3">
      <c r="D69" s="5"/>
    </row>
    <row r="70" spans="4:4" ht="14.25" customHeight="1" x14ac:dyDescent="0.3">
      <c r="D70" s="5"/>
    </row>
    <row r="71" spans="4:4" ht="14.25" customHeight="1" x14ac:dyDescent="0.3">
      <c r="D71" s="5"/>
    </row>
    <row r="72" spans="4:4" ht="14.25" customHeight="1" x14ac:dyDescent="0.3">
      <c r="D72" s="5"/>
    </row>
    <row r="73" spans="4:4" ht="14.25" customHeight="1" x14ac:dyDescent="0.3">
      <c r="D73" s="5"/>
    </row>
    <row r="74" spans="4:4" ht="14.25" customHeight="1" x14ac:dyDescent="0.3">
      <c r="D74" s="5"/>
    </row>
    <row r="75" spans="4:4" ht="14.25" customHeight="1" x14ac:dyDescent="0.3">
      <c r="D75" s="5"/>
    </row>
    <row r="76" spans="4:4" ht="14.25" customHeight="1" x14ac:dyDescent="0.3">
      <c r="D76" s="5"/>
    </row>
    <row r="77" spans="4:4" ht="14.25" customHeight="1" x14ac:dyDescent="0.3">
      <c r="D77" s="5"/>
    </row>
    <row r="78" spans="4:4" ht="14.25" customHeight="1" x14ac:dyDescent="0.3">
      <c r="D78" s="5"/>
    </row>
    <row r="79" spans="4:4" ht="14.25" customHeight="1" x14ac:dyDescent="0.3">
      <c r="D79" s="5"/>
    </row>
    <row r="80" spans="4:4" ht="14.25" customHeight="1" x14ac:dyDescent="0.3">
      <c r="D80" s="5"/>
    </row>
    <row r="81" spans="4:4" ht="14.25" customHeight="1" x14ac:dyDescent="0.3">
      <c r="D81" s="5"/>
    </row>
    <row r="82" spans="4:4" ht="14.25" customHeight="1" x14ac:dyDescent="0.3">
      <c r="D82" s="5"/>
    </row>
    <row r="83" spans="4:4" ht="14.25" customHeight="1" x14ac:dyDescent="0.3">
      <c r="D83" s="5"/>
    </row>
    <row r="84" spans="4:4" ht="14.25" customHeight="1" x14ac:dyDescent="0.3">
      <c r="D84" s="5"/>
    </row>
    <row r="85" spans="4:4" ht="14.25" customHeight="1" x14ac:dyDescent="0.3">
      <c r="D85" s="5"/>
    </row>
    <row r="86" spans="4:4" ht="14.25" customHeight="1" x14ac:dyDescent="0.3">
      <c r="D86" s="5"/>
    </row>
    <row r="87" spans="4:4" ht="14.25" customHeight="1" x14ac:dyDescent="0.3">
      <c r="D87" s="5"/>
    </row>
    <row r="88" spans="4:4" ht="14.25" customHeight="1" x14ac:dyDescent="0.3">
      <c r="D88" s="5"/>
    </row>
    <row r="89" spans="4:4" ht="14.25" customHeight="1" x14ac:dyDescent="0.3">
      <c r="D89" s="5"/>
    </row>
    <row r="90" spans="4:4" ht="14.25" customHeight="1" x14ac:dyDescent="0.3">
      <c r="D90" s="5"/>
    </row>
    <row r="91" spans="4:4" ht="14.25" customHeight="1" x14ac:dyDescent="0.3">
      <c r="D91" s="5"/>
    </row>
    <row r="92" spans="4:4" ht="14.25" customHeight="1" x14ac:dyDescent="0.3">
      <c r="D92" s="5"/>
    </row>
    <row r="93" spans="4:4" ht="14.25" customHeight="1" x14ac:dyDescent="0.3">
      <c r="D93" s="5"/>
    </row>
    <row r="94" spans="4:4" ht="14.25" customHeight="1" x14ac:dyDescent="0.3">
      <c r="D94" s="5"/>
    </row>
    <row r="95" spans="4:4" ht="14.25" customHeight="1" x14ac:dyDescent="0.3">
      <c r="D95" s="5"/>
    </row>
    <row r="96" spans="4:4" ht="14.25" customHeight="1" x14ac:dyDescent="0.3">
      <c r="D96" s="5"/>
    </row>
    <row r="97" spans="4:4" ht="14.25" customHeight="1" x14ac:dyDescent="0.3">
      <c r="D97" s="5"/>
    </row>
    <row r="98" spans="4:4" ht="14.25" customHeight="1" x14ac:dyDescent="0.3">
      <c r="D98" s="5"/>
    </row>
    <row r="99" spans="4:4" ht="14.25" customHeight="1" x14ac:dyDescent="0.3">
      <c r="D99" s="5"/>
    </row>
    <row r="100" spans="4:4" ht="14.25" customHeight="1" x14ac:dyDescent="0.3">
      <c r="D100" s="5"/>
    </row>
    <row r="101" spans="4:4" ht="14.25" customHeight="1" x14ac:dyDescent="0.3">
      <c r="D101" s="5"/>
    </row>
    <row r="102" spans="4:4" ht="14.25" customHeight="1" x14ac:dyDescent="0.3">
      <c r="D102" s="5"/>
    </row>
    <row r="103" spans="4:4" ht="14.25" customHeight="1" x14ac:dyDescent="0.3">
      <c r="D103" s="5"/>
    </row>
    <row r="104" spans="4:4" ht="14.25" customHeight="1" x14ac:dyDescent="0.3">
      <c r="D104" s="5"/>
    </row>
    <row r="105" spans="4:4" ht="14.25" customHeight="1" x14ac:dyDescent="0.3">
      <c r="D105" s="5"/>
    </row>
    <row r="106" spans="4:4" ht="14.25" customHeight="1" x14ac:dyDescent="0.3">
      <c r="D106" s="5"/>
    </row>
    <row r="107" spans="4:4" ht="14.25" customHeight="1" x14ac:dyDescent="0.3">
      <c r="D107" s="5"/>
    </row>
    <row r="108" spans="4:4" ht="14.25" customHeight="1" x14ac:dyDescent="0.3">
      <c r="D108" s="5"/>
    </row>
    <row r="109" spans="4:4" ht="14.25" customHeight="1" x14ac:dyDescent="0.3">
      <c r="D109" s="5"/>
    </row>
    <row r="110" spans="4:4" ht="14.25" customHeight="1" x14ac:dyDescent="0.3">
      <c r="D110" s="5"/>
    </row>
    <row r="111" spans="4:4" ht="14.25" customHeight="1" x14ac:dyDescent="0.3">
      <c r="D111" s="5"/>
    </row>
    <row r="112" spans="4:4" ht="14.25" customHeight="1" x14ac:dyDescent="0.3">
      <c r="D112" s="5"/>
    </row>
    <row r="113" spans="4:4" ht="14.25" customHeight="1" x14ac:dyDescent="0.3">
      <c r="D113" s="5"/>
    </row>
    <row r="114" spans="4:4" ht="14.25" customHeight="1" x14ac:dyDescent="0.3">
      <c r="D114" s="5"/>
    </row>
    <row r="115" spans="4:4" ht="14.25" customHeight="1" x14ac:dyDescent="0.3">
      <c r="D115" s="5"/>
    </row>
    <row r="116" spans="4:4" ht="14.25" customHeight="1" x14ac:dyDescent="0.3">
      <c r="D116" s="5"/>
    </row>
    <row r="117" spans="4:4" ht="14.25" customHeight="1" x14ac:dyDescent="0.3">
      <c r="D117" s="5"/>
    </row>
    <row r="118" spans="4:4" ht="14.25" customHeight="1" x14ac:dyDescent="0.3">
      <c r="D118" s="5"/>
    </row>
    <row r="119" spans="4:4" ht="14.25" customHeight="1" x14ac:dyDescent="0.3">
      <c r="D119" s="5"/>
    </row>
    <row r="120" spans="4:4" ht="14.25" customHeight="1" x14ac:dyDescent="0.3">
      <c r="D120" s="5"/>
    </row>
    <row r="121" spans="4:4" ht="14.25" customHeight="1" x14ac:dyDescent="0.3">
      <c r="D121" s="5"/>
    </row>
    <row r="122" spans="4:4" ht="14.25" customHeight="1" x14ac:dyDescent="0.3">
      <c r="D122" s="5"/>
    </row>
    <row r="123" spans="4:4" ht="14.25" customHeight="1" x14ac:dyDescent="0.3">
      <c r="D123" s="5"/>
    </row>
    <row r="124" spans="4:4" ht="14.25" customHeight="1" x14ac:dyDescent="0.3">
      <c r="D124" s="5"/>
    </row>
    <row r="125" spans="4:4" ht="14.25" customHeight="1" x14ac:dyDescent="0.3">
      <c r="D125" s="5"/>
    </row>
    <row r="126" spans="4:4" ht="14.25" customHeight="1" x14ac:dyDescent="0.3">
      <c r="D126" s="5"/>
    </row>
    <row r="127" spans="4:4" ht="14.25" customHeight="1" x14ac:dyDescent="0.3">
      <c r="D127" s="5"/>
    </row>
    <row r="128" spans="4:4" ht="14.25" customHeight="1" x14ac:dyDescent="0.3">
      <c r="D128" s="5"/>
    </row>
    <row r="129" spans="4:4" ht="14.25" customHeight="1" x14ac:dyDescent="0.3">
      <c r="D129" s="5"/>
    </row>
    <row r="130" spans="4:4" ht="14.25" customHeight="1" x14ac:dyDescent="0.3">
      <c r="D130" s="5"/>
    </row>
    <row r="131" spans="4:4" ht="14.25" customHeight="1" x14ac:dyDescent="0.3">
      <c r="D131" s="5"/>
    </row>
    <row r="132" spans="4:4" ht="14.25" customHeight="1" x14ac:dyDescent="0.3">
      <c r="D132" s="5"/>
    </row>
    <row r="133" spans="4:4" ht="14.25" customHeight="1" x14ac:dyDescent="0.3">
      <c r="D133" s="5"/>
    </row>
    <row r="134" spans="4:4" ht="14.25" customHeight="1" x14ac:dyDescent="0.3">
      <c r="D134" s="5"/>
    </row>
    <row r="135" spans="4:4" ht="14.25" customHeight="1" x14ac:dyDescent="0.3">
      <c r="D135" s="5"/>
    </row>
    <row r="136" spans="4:4" ht="14.25" customHeight="1" x14ac:dyDescent="0.3">
      <c r="D136" s="5"/>
    </row>
    <row r="137" spans="4:4" ht="14.25" customHeight="1" x14ac:dyDescent="0.3">
      <c r="D137" s="5"/>
    </row>
    <row r="138" spans="4:4" ht="14.25" customHeight="1" x14ac:dyDescent="0.3">
      <c r="D138" s="5"/>
    </row>
    <row r="139" spans="4:4" ht="14.25" customHeight="1" x14ac:dyDescent="0.3">
      <c r="D139" s="5"/>
    </row>
    <row r="140" spans="4:4" ht="14.25" customHeight="1" x14ac:dyDescent="0.3">
      <c r="D140" s="5"/>
    </row>
    <row r="141" spans="4:4" ht="14.25" customHeight="1" x14ac:dyDescent="0.3">
      <c r="D141" s="5"/>
    </row>
    <row r="142" spans="4:4" ht="14.25" customHeight="1" x14ac:dyDescent="0.3">
      <c r="D142" s="5"/>
    </row>
    <row r="143" spans="4:4" ht="14.25" customHeight="1" x14ac:dyDescent="0.3">
      <c r="D143" s="5"/>
    </row>
    <row r="144" spans="4:4" ht="14.25" customHeight="1" x14ac:dyDescent="0.3">
      <c r="D144" s="5"/>
    </row>
    <row r="145" spans="4:4" ht="14.25" customHeight="1" x14ac:dyDescent="0.3">
      <c r="D145" s="5"/>
    </row>
    <row r="146" spans="4:4" ht="14.25" customHeight="1" x14ac:dyDescent="0.3">
      <c r="D146" s="5"/>
    </row>
    <row r="147" spans="4:4" ht="14.25" customHeight="1" x14ac:dyDescent="0.3">
      <c r="D147" s="5"/>
    </row>
    <row r="148" spans="4:4" ht="14.25" customHeight="1" x14ac:dyDescent="0.3">
      <c r="D148" s="5"/>
    </row>
    <row r="149" spans="4:4" ht="14.25" customHeight="1" x14ac:dyDescent="0.3">
      <c r="D149" s="5"/>
    </row>
    <row r="150" spans="4:4" ht="14.25" customHeight="1" x14ac:dyDescent="0.3">
      <c r="D150" s="5"/>
    </row>
    <row r="151" spans="4:4" ht="14.25" customHeight="1" x14ac:dyDescent="0.3">
      <c r="D151" s="5"/>
    </row>
    <row r="152" spans="4:4" ht="14.25" customHeight="1" x14ac:dyDescent="0.3">
      <c r="D152" s="5"/>
    </row>
    <row r="153" spans="4:4" ht="14.25" customHeight="1" x14ac:dyDescent="0.3">
      <c r="D153" s="5"/>
    </row>
    <row r="154" spans="4:4" ht="14.25" customHeight="1" x14ac:dyDescent="0.3">
      <c r="D154" s="5"/>
    </row>
    <row r="155" spans="4:4" ht="14.25" customHeight="1" x14ac:dyDescent="0.3">
      <c r="D155" s="5"/>
    </row>
    <row r="156" spans="4:4" ht="14.25" customHeight="1" x14ac:dyDescent="0.3">
      <c r="D156" s="5"/>
    </row>
    <row r="157" spans="4:4" ht="14.25" customHeight="1" x14ac:dyDescent="0.3">
      <c r="D157" s="5"/>
    </row>
    <row r="158" spans="4:4" ht="14.25" customHeight="1" x14ac:dyDescent="0.3">
      <c r="D158" s="5"/>
    </row>
    <row r="159" spans="4:4" ht="14.25" customHeight="1" x14ac:dyDescent="0.3">
      <c r="D159" s="5"/>
    </row>
    <row r="160" spans="4:4" ht="14.25" customHeight="1" x14ac:dyDescent="0.3">
      <c r="D160" s="5"/>
    </row>
    <row r="161" spans="4:4" ht="14.25" customHeight="1" x14ac:dyDescent="0.3">
      <c r="D161" s="5"/>
    </row>
    <row r="162" spans="4:4" ht="14.25" customHeight="1" x14ac:dyDescent="0.3">
      <c r="D162" s="5"/>
    </row>
    <row r="163" spans="4:4" ht="14.25" customHeight="1" x14ac:dyDescent="0.3">
      <c r="D163" s="5"/>
    </row>
    <row r="164" spans="4:4" ht="14.25" customHeight="1" x14ac:dyDescent="0.3">
      <c r="D164" s="5"/>
    </row>
    <row r="165" spans="4:4" ht="14.25" customHeight="1" x14ac:dyDescent="0.3">
      <c r="D165" s="5"/>
    </row>
    <row r="166" spans="4:4" ht="14.25" customHeight="1" x14ac:dyDescent="0.3">
      <c r="D166" s="5"/>
    </row>
    <row r="167" spans="4:4" ht="14.25" customHeight="1" x14ac:dyDescent="0.3">
      <c r="D167" s="5"/>
    </row>
    <row r="168" spans="4:4" ht="14.25" customHeight="1" x14ac:dyDescent="0.3">
      <c r="D168" s="5"/>
    </row>
    <row r="169" spans="4:4" ht="14.25" customHeight="1" x14ac:dyDescent="0.3">
      <c r="D169" s="5"/>
    </row>
    <row r="170" spans="4:4" ht="14.25" customHeight="1" x14ac:dyDescent="0.3">
      <c r="D170" s="5"/>
    </row>
    <row r="171" spans="4:4" ht="14.25" customHeight="1" x14ac:dyDescent="0.3">
      <c r="D171" s="5"/>
    </row>
    <row r="172" spans="4:4" ht="14.25" customHeight="1" x14ac:dyDescent="0.3">
      <c r="D172" s="5"/>
    </row>
    <row r="173" spans="4:4" ht="14.25" customHeight="1" x14ac:dyDescent="0.3">
      <c r="D173" s="5"/>
    </row>
    <row r="174" spans="4:4" ht="14.25" customHeight="1" x14ac:dyDescent="0.3">
      <c r="D174" s="5"/>
    </row>
    <row r="175" spans="4:4" ht="14.25" customHeight="1" x14ac:dyDescent="0.3">
      <c r="D175" s="5"/>
    </row>
    <row r="176" spans="4:4" ht="14.25" customHeight="1" x14ac:dyDescent="0.3">
      <c r="D176" s="5"/>
    </row>
    <row r="177" spans="4:4" ht="14.25" customHeight="1" x14ac:dyDescent="0.3">
      <c r="D177" s="5"/>
    </row>
    <row r="178" spans="4:4" ht="14.25" customHeight="1" x14ac:dyDescent="0.3">
      <c r="D178" s="5"/>
    </row>
    <row r="179" spans="4:4" ht="14.25" customHeight="1" x14ac:dyDescent="0.3">
      <c r="D179" s="5"/>
    </row>
    <row r="180" spans="4:4" ht="14.25" customHeight="1" x14ac:dyDescent="0.3">
      <c r="D180" s="5"/>
    </row>
    <row r="181" spans="4:4" ht="14.25" customHeight="1" x14ac:dyDescent="0.3">
      <c r="D181" s="5"/>
    </row>
    <row r="182" spans="4:4" ht="14.25" customHeight="1" x14ac:dyDescent="0.3">
      <c r="D182" s="5"/>
    </row>
    <row r="183" spans="4:4" ht="14.25" customHeight="1" x14ac:dyDescent="0.3">
      <c r="D183" s="5"/>
    </row>
    <row r="184" spans="4:4" ht="14.25" customHeight="1" x14ac:dyDescent="0.3">
      <c r="D184" s="5"/>
    </row>
    <row r="185" spans="4:4" ht="14.25" customHeight="1" x14ac:dyDescent="0.3">
      <c r="D185" s="5"/>
    </row>
    <row r="186" spans="4:4" ht="14.25" customHeight="1" x14ac:dyDescent="0.3">
      <c r="D186" s="5"/>
    </row>
    <row r="187" spans="4:4" ht="14.25" customHeight="1" x14ac:dyDescent="0.3">
      <c r="D187" s="5"/>
    </row>
    <row r="188" spans="4:4" ht="14.25" customHeight="1" x14ac:dyDescent="0.3">
      <c r="D188" s="5"/>
    </row>
    <row r="189" spans="4:4" ht="14.25" customHeight="1" x14ac:dyDescent="0.3">
      <c r="D189" s="5"/>
    </row>
    <row r="190" spans="4:4" ht="14.25" customHeight="1" x14ac:dyDescent="0.3">
      <c r="D190" s="5"/>
    </row>
    <row r="191" spans="4:4" ht="14.25" customHeight="1" x14ac:dyDescent="0.3">
      <c r="D191" s="5"/>
    </row>
    <row r="192" spans="4:4" ht="14.25" customHeight="1" x14ac:dyDescent="0.3">
      <c r="D192" s="5"/>
    </row>
    <row r="193" spans="4:4" ht="14.25" customHeight="1" x14ac:dyDescent="0.3">
      <c r="D193" s="5"/>
    </row>
    <row r="194" spans="4:4" ht="14.25" customHeight="1" x14ac:dyDescent="0.3">
      <c r="D194" s="5"/>
    </row>
    <row r="195" spans="4:4" ht="14.25" customHeight="1" x14ac:dyDescent="0.3">
      <c r="D195" s="5"/>
    </row>
    <row r="196" spans="4:4" ht="14.25" customHeight="1" x14ac:dyDescent="0.3">
      <c r="D196" s="5"/>
    </row>
    <row r="197" spans="4:4" ht="14.25" customHeight="1" x14ac:dyDescent="0.3">
      <c r="D197" s="5"/>
    </row>
    <row r="198" spans="4:4" ht="14.25" customHeight="1" x14ac:dyDescent="0.3">
      <c r="D198" s="5"/>
    </row>
    <row r="199" spans="4:4" ht="14.25" customHeight="1" x14ac:dyDescent="0.3">
      <c r="D199" s="5"/>
    </row>
    <row r="200" spans="4:4" ht="14.25" customHeight="1" x14ac:dyDescent="0.3">
      <c r="D200" s="5"/>
    </row>
    <row r="201" spans="4:4" ht="14.25" customHeight="1" x14ac:dyDescent="0.3">
      <c r="D201" s="5"/>
    </row>
    <row r="202" spans="4:4" ht="14.25" customHeight="1" x14ac:dyDescent="0.3">
      <c r="D202" s="5"/>
    </row>
    <row r="203" spans="4:4" ht="14.25" customHeight="1" x14ac:dyDescent="0.3">
      <c r="D203" s="5"/>
    </row>
    <row r="204" spans="4:4" ht="14.25" customHeight="1" x14ac:dyDescent="0.3">
      <c r="D204" s="5"/>
    </row>
    <row r="205" spans="4:4" ht="14.25" customHeight="1" x14ac:dyDescent="0.3">
      <c r="D205" s="5"/>
    </row>
    <row r="206" spans="4:4" ht="14.25" customHeight="1" x14ac:dyDescent="0.3">
      <c r="D206" s="5"/>
    </row>
    <row r="207" spans="4:4" ht="14.25" customHeight="1" x14ac:dyDescent="0.3">
      <c r="D207" s="5"/>
    </row>
    <row r="208" spans="4:4" ht="14.25" customHeight="1" x14ac:dyDescent="0.3">
      <c r="D208" s="5"/>
    </row>
    <row r="209" spans="4:4" ht="14.25" customHeight="1" x14ac:dyDescent="0.3">
      <c r="D209" s="5"/>
    </row>
    <row r="210" spans="4:4" ht="14.25" customHeight="1" x14ac:dyDescent="0.3">
      <c r="D210" s="5"/>
    </row>
    <row r="211" spans="4:4" ht="14.25" customHeight="1" x14ac:dyDescent="0.3">
      <c r="D211" s="5"/>
    </row>
    <row r="212" spans="4:4" ht="14.25" customHeight="1" x14ac:dyDescent="0.3">
      <c r="D212" s="5"/>
    </row>
    <row r="213" spans="4:4" ht="14.25" customHeight="1" x14ac:dyDescent="0.3">
      <c r="D213" s="5"/>
    </row>
    <row r="214" spans="4:4" ht="14.25" customHeight="1" x14ac:dyDescent="0.3">
      <c r="D214" s="5"/>
    </row>
    <row r="215" spans="4:4" ht="14.25" customHeight="1" x14ac:dyDescent="0.3">
      <c r="D215" s="5"/>
    </row>
    <row r="216" spans="4:4" ht="14.25" customHeight="1" x14ac:dyDescent="0.3">
      <c r="D216" s="5"/>
    </row>
    <row r="217" spans="4:4" ht="14.25" customHeight="1" x14ac:dyDescent="0.3">
      <c r="D217" s="5"/>
    </row>
    <row r="218" spans="4:4" ht="14.25" customHeight="1" x14ac:dyDescent="0.3">
      <c r="D218" s="5"/>
    </row>
    <row r="219" spans="4:4" ht="14.25" customHeight="1" x14ac:dyDescent="0.3">
      <c r="D219" s="5"/>
    </row>
    <row r="220" spans="4:4" ht="14.25" customHeight="1" x14ac:dyDescent="0.3">
      <c r="D220" s="5"/>
    </row>
    <row r="221" spans="4:4" ht="14.25" customHeight="1" x14ac:dyDescent="0.3"/>
    <row r="222" spans="4:4" ht="14.25" customHeight="1" x14ac:dyDescent="0.3"/>
    <row r="223" spans="4:4" ht="14.25" customHeight="1" x14ac:dyDescent="0.3"/>
    <row r="224" spans="4: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D2:G16" xr:uid="{00000000-0009-0000-0000-000001000000}"/>
  <dataValidations count="5">
    <dataValidation type="list" allowBlank="1" showErrorMessage="1" sqref="G3:G12" xr:uid="{00000000-0002-0000-0100-000000000000}">
      <formula1>CHOOSE(IF(E3="Estrutura",1,IF(E3="Individual/Setor",2,3)), Geral, Apartada, Y2)</formula1>
    </dataValidation>
    <dataValidation type="list" allowBlank="1" showErrorMessage="1" sqref="F3:F12" xr:uid="{00000000-0002-0000-0100-000001000000}">
      <formula1>IF($E3="Estrutura",Estrutura,INDIRECT("Responsável"))</formula1>
    </dataValidation>
    <dataValidation type="list" allowBlank="1" showErrorMessage="1" sqref="E3:E12" xr:uid="{00000000-0002-0000-0100-000002000000}">
      <formula1>Espécie</formula1>
    </dataValidation>
    <dataValidation type="list" allowBlank="1" showErrorMessage="1" sqref="C6 C10" xr:uid="{00000000-0002-0000-0100-000003000000}">
      <formula1>Despesas</formula1>
    </dataValidation>
    <dataValidation type="list" allowBlank="1" showErrorMessage="1" sqref="D3:D42" xr:uid="{00000000-0002-0000-0100-000004000000}">
      <formula1>Mês</formula1>
    </dataValidation>
  </dataValidation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topLeftCell="A28" workbookViewId="0">
      <selection activeCell="E50" sqref="E50"/>
    </sheetView>
  </sheetViews>
  <sheetFormatPr defaultColWidth="14.44140625" defaultRowHeight="15" customHeight="1" x14ac:dyDescent="0.3"/>
  <cols>
    <col min="1" max="1" width="11.33203125" customWidth="1"/>
    <col min="2" max="2" width="26.33203125" customWidth="1"/>
    <col min="3" max="3" width="27" customWidth="1"/>
    <col min="4" max="4" width="12.33203125" customWidth="1"/>
    <col min="5" max="5" width="34.88671875" customWidth="1"/>
    <col min="6" max="26" width="8.6640625" customWidth="1"/>
  </cols>
  <sheetData>
    <row r="1" spans="1:5" ht="14.25" customHeight="1" x14ac:dyDescent="0.3">
      <c r="A1" s="16" t="s">
        <v>1</v>
      </c>
      <c r="B1" s="16" t="s">
        <v>31</v>
      </c>
      <c r="C1" s="16" t="s">
        <v>32</v>
      </c>
      <c r="D1" s="17" t="s">
        <v>33</v>
      </c>
      <c r="E1" s="16" t="s">
        <v>34</v>
      </c>
    </row>
    <row r="2" spans="1:5" ht="14.25" customHeight="1" x14ac:dyDescent="0.3">
      <c r="A2" s="5">
        <v>45620</v>
      </c>
      <c r="B2" s="4" t="s">
        <v>35</v>
      </c>
      <c r="C2" s="4" t="s">
        <v>36</v>
      </c>
      <c r="D2" s="6">
        <v>2000</v>
      </c>
      <c r="E2" s="4" t="s">
        <v>37</v>
      </c>
    </row>
    <row r="3" spans="1:5" ht="14.25" customHeight="1" x14ac:dyDescent="0.3">
      <c r="A3" s="5">
        <v>45826</v>
      </c>
      <c r="B3" s="4" t="s">
        <v>38</v>
      </c>
      <c r="C3" s="4" t="s">
        <v>39</v>
      </c>
      <c r="D3" s="6">
        <v>1500</v>
      </c>
      <c r="E3" s="4" t="s">
        <v>10</v>
      </c>
    </row>
    <row r="4" spans="1:5" ht="14.25" customHeight="1" x14ac:dyDescent="0.3">
      <c r="A4" s="5">
        <v>45826</v>
      </c>
      <c r="B4" s="4" t="s">
        <v>39</v>
      </c>
      <c r="C4" s="4" t="s">
        <v>40</v>
      </c>
      <c r="D4" s="6">
        <v>553.04</v>
      </c>
      <c r="E4" s="4" t="s">
        <v>41</v>
      </c>
    </row>
    <row r="5" spans="1:5" ht="14.25" customHeight="1" x14ac:dyDescent="0.3">
      <c r="A5" s="5">
        <v>45826</v>
      </c>
      <c r="B5" s="4" t="s">
        <v>39</v>
      </c>
      <c r="C5" s="4" t="s">
        <v>42</v>
      </c>
      <c r="D5" s="6">
        <v>260.14</v>
      </c>
    </row>
    <row r="6" spans="1:5" ht="14.25" customHeight="1" x14ac:dyDescent="0.3">
      <c r="A6" s="5">
        <v>45826</v>
      </c>
      <c r="B6" s="4" t="s">
        <v>42</v>
      </c>
      <c r="C6" s="4" t="s">
        <v>43</v>
      </c>
      <c r="D6" s="6">
        <v>67.510000000000005</v>
      </c>
      <c r="E6" s="4" t="s">
        <v>44</v>
      </c>
    </row>
    <row r="7" spans="1:5" ht="14.25" customHeight="1" x14ac:dyDescent="0.3">
      <c r="A7" s="5">
        <v>45826</v>
      </c>
      <c r="B7" s="4" t="s">
        <v>42</v>
      </c>
      <c r="C7" s="4" t="s">
        <v>43</v>
      </c>
      <c r="D7" s="6">
        <v>124.28</v>
      </c>
      <c r="E7" s="4" t="s">
        <v>45</v>
      </c>
    </row>
    <row r="8" spans="1:5" ht="14.25" customHeight="1" x14ac:dyDescent="0.3">
      <c r="A8" s="5">
        <v>45826</v>
      </c>
      <c r="B8" s="4" t="s">
        <v>42</v>
      </c>
      <c r="C8" s="4" t="s">
        <v>43</v>
      </c>
      <c r="D8" s="6">
        <v>68.349999999999994</v>
      </c>
      <c r="E8" s="4" t="s">
        <v>46</v>
      </c>
    </row>
    <row r="9" spans="1:5" ht="14.25" customHeight="1" x14ac:dyDescent="0.3">
      <c r="A9" s="5">
        <v>45826</v>
      </c>
      <c r="B9" s="4" t="s">
        <v>40</v>
      </c>
      <c r="C9" s="4" t="s">
        <v>47</v>
      </c>
      <c r="D9" s="6">
        <v>553.04</v>
      </c>
      <c r="E9" s="4" t="s">
        <v>41</v>
      </c>
    </row>
    <row r="10" spans="1:5" ht="14.25" customHeight="1" x14ac:dyDescent="0.3">
      <c r="A10" s="5">
        <v>45826</v>
      </c>
      <c r="B10" s="4" t="s">
        <v>39</v>
      </c>
      <c r="C10" s="4" t="s">
        <v>47</v>
      </c>
      <c r="D10" s="6">
        <v>130.82</v>
      </c>
      <c r="E10" s="4" t="s">
        <v>48</v>
      </c>
    </row>
    <row r="11" spans="1:5" ht="14.25" customHeight="1" x14ac:dyDescent="0.3">
      <c r="A11" s="5">
        <v>45826</v>
      </c>
      <c r="B11" s="4" t="s">
        <v>39</v>
      </c>
      <c r="C11" s="4" t="s">
        <v>47</v>
      </c>
      <c r="D11" s="6">
        <v>556</v>
      </c>
      <c r="E11" s="4" t="s">
        <v>49</v>
      </c>
    </row>
    <row r="12" spans="1:5" ht="14.25" customHeight="1" x14ac:dyDescent="0.3">
      <c r="A12" s="5">
        <v>45826</v>
      </c>
      <c r="B12" s="4" t="s">
        <v>47</v>
      </c>
      <c r="C12" s="4" t="s">
        <v>38</v>
      </c>
      <c r="D12" s="6">
        <v>556</v>
      </c>
      <c r="E12" s="4" t="s">
        <v>50</v>
      </c>
    </row>
    <row r="13" spans="1:5" ht="14.25" customHeight="1" x14ac:dyDescent="0.3">
      <c r="A13" s="5">
        <v>45826</v>
      </c>
      <c r="B13" s="4" t="s">
        <v>47</v>
      </c>
      <c r="C13" s="4" t="s">
        <v>51</v>
      </c>
      <c r="D13" s="6">
        <v>130.82</v>
      </c>
      <c r="E13" s="4" t="s">
        <v>48</v>
      </c>
    </row>
    <row r="14" spans="1:5" ht="14.25" customHeight="1" x14ac:dyDescent="0.3">
      <c r="A14" s="5">
        <v>45839</v>
      </c>
      <c r="B14" s="4" t="s">
        <v>43</v>
      </c>
      <c r="C14" s="4" t="s">
        <v>38</v>
      </c>
      <c r="D14" s="6">
        <v>67.510000000000005</v>
      </c>
      <c r="E14" s="4" t="s">
        <v>44</v>
      </c>
    </row>
    <row r="15" spans="1:5" ht="14.25" customHeight="1" x14ac:dyDescent="0.3">
      <c r="A15" s="5">
        <v>45840</v>
      </c>
      <c r="B15" s="4" t="s">
        <v>47</v>
      </c>
      <c r="C15" s="4" t="s">
        <v>38</v>
      </c>
      <c r="D15" s="6">
        <v>553.04</v>
      </c>
      <c r="E15" s="4" t="s">
        <v>52</v>
      </c>
    </row>
    <row r="16" spans="1:5" ht="14.25" customHeight="1" x14ac:dyDescent="0.3">
      <c r="A16" s="5"/>
      <c r="B16" s="4"/>
      <c r="C16" s="4"/>
      <c r="D16" s="6"/>
    </row>
    <row r="17" spans="1:5" ht="14.25" customHeight="1" x14ac:dyDescent="0.3">
      <c r="A17" s="5">
        <v>45864</v>
      </c>
      <c r="B17" s="4" t="s">
        <v>38</v>
      </c>
      <c r="C17" s="4" t="s">
        <v>39</v>
      </c>
      <c r="D17" s="6">
        <v>330</v>
      </c>
      <c r="E17" s="4" t="s">
        <v>53</v>
      </c>
    </row>
    <row r="18" spans="1:5" ht="14.25" customHeight="1" x14ac:dyDescent="0.3">
      <c r="A18" s="5">
        <v>45874</v>
      </c>
      <c r="B18" s="4" t="s">
        <v>43</v>
      </c>
      <c r="C18" s="4" t="s">
        <v>38</v>
      </c>
      <c r="D18" s="6">
        <v>192.62</v>
      </c>
      <c r="E18" s="4" t="s">
        <v>54</v>
      </c>
    </row>
    <row r="19" spans="1:5" ht="14.25" customHeight="1" x14ac:dyDescent="0.3">
      <c r="A19" s="5">
        <v>45874</v>
      </c>
      <c r="B19" s="4" t="s">
        <v>38</v>
      </c>
      <c r="C19" s="4" t="s">
        <v>39</v>
      </c>
      <c r="D19" s="6">
        <v>2</v>
      </c>
      <c r="E19" s="4" t="s">
        <v>55</v>
      </c>
    </row>
    <row r="20" spans="1:5" ht="14.25" customHeight="1" x14ac:dyDescent="0.3">
      <c r="A20" s="5">
        <v>45874</v>
      </c>
      <c r="B20" s="4" t="s">
        <v>39</v>
      </c>
      <c r="C20" s="4" t="s">
        <v>40</v>
      </c>
      <c r="D20" s="6">
        <v>213.92</v>
      </c>
      <c r="E20" s="4" t="s">
        <v>41</v>
      </c>
    </row>
    <row r="21" spans="1:5" ht="14.25" customHeight="1" x14ac:dyDescent="0.3">
      <c r="A21" s="5">
        <v>45874</v>
      </c>
      <c r="B21" s="4" t="s">
        <v>39</v>
      </c>
      <c r="C21" s="4" t="s">
        <v>47</v>
      </c>
      <c r="D21" s="6">
        <v>28.71</v>
      </c>
    </row>
    <row r="22" spans="1:5" ht="14.25" customHeight="1" x14ac:dyDescent="0.3">
      <c r="A22" s="5">
        <v>45874</v>
      </c>
      <c r="B22" s="4" t="s">
        <v>42</v>
      </c>
      <c r="C22" s="4" t="s">
        <v>43</v>
      </c>
      <c r="D22" s="6">
        <v>48.07</v>
      </c>
      <c r="E22" s="4" t="s">
        <v>45</v>
      </c>
    </row>
    <row r="23" spans="1:5" ht="14.25" customHeight="1" x14ac:dyDescent="0.3">
      <c r="A23" s="5">
        <v>45874</v>
      </c>
      <c r="B23" s="4" t="s">
        <v>42</v>
      </c>
      <c r="C23" s="4" t="s">
        <v>43</v>
      </c>
      <c r="D23" s="6">
        <v>26.44</v>
      </c>
      <c r="E23" s="4" t="s">
        <v>46</v>
      </c>
    </row>
    <row r="24" spans="1:5" ht="14.25" customHeight="1" x14ac:dyDescent="0.3">
      <c r="A24" s="5">
        <v>45874</v>
      </c>
      <c r="B24" s="4" t="s">
        <v>42</v>
      </c>
      <c r="C24" s="4" t="s">
        <v>43</v>
      </c>
      <c r="D24" s="6">
        <v>14.85</v>
      </c>
      <c r="E24" s="4" t="s">
        <v>44</v>
      </c>
    </row>
    <row r="25" spans="1:5" ht="14.25" customHeight="1" x14ac:dyDescent="0.3">
      <c r="A25" s="5">
        <v>45874</v>
      </c>
      <c r="B25" s="4" t="s">
        <v>40</v>
      </c>
      <c r="C25" s="4" t="s">
        <v>47</v>
      </c>
      <c r="D25" s="6">
        <v>213.92</v>
      </c>
      <c r="E25" s="4" t="s">
        <v>41</v>
      </c>
    </row>
    <row r="26" spans="1:5" ht="14.25" customHeight="1" x14ac:dyDescent="0.3">
      <c r="A26" s="5">
        <v>45874</v>
      </c>
      <c r="B26" s="4" t="s">
        <v>47</v>
      </c>
      <c r="C26" s="4" t="s">
        <v>38</v>
      </c>
      <c r="D26" s="6">
        <v>213.92</v>
      </c>
      <c r="E26" s="4" t="s">
        <v>52</v>
      </c>
    </row>
    <row r="27" spans="1:5" ht="14.25" customHeight="1" x14ac:dyDescent="0.3">
      <c r="A27" s="5">
        <v>45874</v>
      </c>
      <c r="B27" s="4" t="s">
        <v>47</v>
      </c>
      <c r="C27" s="4" t="s">
        <v>51</v>
      </c>
      <c r="D27" s="6">
        <v>28.71</v>
      </c>
      <c r="E27" s="4" t="s">
        <v>56</v>
      </c>
    </row>
    <row r="28" spans="1:5" ht="14.25" customHeight="1" x14ac:dyDescent="0.3">
      <c r="A28" s="5">
        <v>45874</v>
      </c>
      <c r="B28" s="4" t="s">
        <v>43</v>
      </c>
      <c r="C28" s="4" t="s">
        <v>38</v>
      </c>
      <c r="D28" s="6">
        <v>14.85</v>
      </c>
      <c r="E28" s="4" t="s">
        <v>44</v>
      </c>
    </row>
    <row r="29" spans="1:5" ht="14.25" customHeight="1" x14ac:dyDescent="0.3">
      <c r="A29" s="5"/>
      <c r="B29" s="4"/>
      <c r="C29" s="4"/>
      <c r="D29" s="6"/>
    </row>
    <row r="30" spans="1:5" ht="14.25" customHeight="1" x14ac:dyDescent="0.3">
      <c r="A30" s="5">
        <v>45897</v>
      </c>
      <c r="B30" s="4" t="s">
        <v>38</v>
      </c>
      <c r="C30" s="4" t="s">
        <v>39</v>
      </c>
      <c r="D30" s="6">
        <v>330</v>
      </c>
      <c r="E30" s="4" t="s">
        <v>53</v>
      </c>
    </row>
    <row r="31" spans="1:5" ht="14.25" customHeight="1" x14ac:dyDescent="0.3">
      <c r="A31" s="5">
        <v>45901</v>
      </c>
      <c r="B31" s="4" t="s">
        <v>39</v>
      </c>
      <c r="C31" s="4" t="s">
        <v>40</v>
      </c>
      <c r="D31" s="6">
        <v>213.92</v>
      </c>
      <c r="E31" s="4" t="s">
        <v>41</v>
      </c>
    </row>
    <row r="32" spans="1:5" ht="14.25" customHeight="1" x14ac:dyDescent="0.3">
      <c r="A32" s="5">
        <v>45901</v>
      </c>
      <c r="B32" s="4" t="s">
        <v>39</v>
      </c>
      <c r="C32" s="4" t="s">
        <v>47</v>
      </c>
      <c r="D32" s="6">
        <v>26.71</v>
      </c>
    </row>
    <row r="33" spans="1:5" ht="14.25" customHeight="1" x14ac:dyDescent="0.3">
      <c r="A33" s="5">
        <v>45901</v>
      </c>
      <c r="B33" s="4" t="s">
        <v>42</v>
      </c>
      <c r="C33" s="4" t="s">
        <v>43</v>
      </c>
      <c r="D33" s="6">
        <v>48.07</v>
      </c>
      <c r="E33" s="4" t="s">
        <v>45</v>
      </c>
    </row>
    <row r="34" spans="1:5" ht="14.25" customHeight="1" x14ac:dyDescent="0.3">
      <c r="A34" s="5">
        <v>45901</v>
      </c>
      <c r="B34" s="4" t="s">
        <v>42</v>
      </c>
      <c r="C34" s="4" t="s">
        <v>43</v>
      </c>
      <c r="D34" s="6">
        <v>26.43</v>
      </c>
      <c r="E34" s="4" t="s">
        <v>46</v>
      </c>
    </row>
    <row r="35" spans="1:5" ht="14.25" customHeight="1" x14ac:dyDescent="0.3">
      <c r="A35" s="5">
        <v>45901</v>
      </c>
      <c r="B35" s="4" t="s">
        <v>42</v>
      </c>
      <c r="C35" s="4" t="s">
        <v>43</v>
      </c>
      <c r="D35" s="6">
        <v>14.85</v>
      </c>
      <c r="E35" s="4" t="s">
        <v>44</v>
      </c>
    </row>
    <row r="36" spans="1:5" ht="14.25" customHeight="1" x14ac:dyDescent="0.3">
      <c r="A36" s="5">
        <v>45901</v>
      </c>
      <c r="B36" s="4" t="s">
        <v>43</v>
      </c>
      <c r="C36" s="4" t="s">
        <v>38</v>
      </c>
      <c r="D36" s="6">
        <v>14.85</v>
      </c>
      <c r="E36" s="4" t="s">
        <v>44</v>
      </c>
    </row>
    <row r="37" spans="1:5" ht="14.25" customHeight="1" x14ac:dyDescent="0.3">
      <c r="A37" s="5">
        <v>45901</v>
      </c>
      <c r="B37" s="4" t="s">
        <v>43</v>
      </c>
      <c r="C37" s="4" t="s">
        <v>38</v>
      </c>
      <c r="D37" s="6">
        <v>74.510000000000005</v>
      </c>
      <c r="E37" s="4" t="s">
        <v>54</v>
      </c>
    </row>
    <row r="38" spans="1:5" ht="14.25" customHeight="1" x14ac:dyDescent="0.3">
      <c r="A38" s="5">
        <v>45901</v>
      </c>
      <c r="B38" s="4" t="s">
        <v>40</v>
      </c>
      <c r="C38" s="4" t="s">
        <v>47</v>
      </c>
      <c r="D38" s="6">
        <v>213.92</v>
      </c>
      <c r="E38" s="4" t="s">
        <v>41</v>
      </c>
    </row>
    <row r="39" spans="1:5" ht="14.25" customHeight="1" x14ac:dyDescent="0.3">
      <c r="A39" s="5">
        <v>45901</v>
      </c>
      <c r="B39" s="4" t="s">
        <v>47</v>
      </c>
      <c r="C39" s="4" t="s">
        <v>38</v>
      </c>
      <c r="D39" s="6">
        <v>213.92</v>
      </c>
      <c r="E39" s="4" t="s">
        <v>52</v>
      </c>
    </row>
    <row r="40" spans="1:5" ht="14.25" customHeight="1" x14ac:dyDescent="0.3">
      <c r="A40" s="5">
        <v>45901</v>
      </c>
      <c r="B40" s="4" t="s">
        <v>47</v>
      </c>
      <c r="C40" s="4" t="s">
        <v>51</v>
      </c>
      <c r="D40" s="6">
        <v>26.71</v>
      </c>
      <c r="E40" s="4" t="s">
        <v>57</v>
      </c>
    </row>
    <row r="41" spans="1:5" ht="14.25" customHeight="1" x14ac:dyDescent="0.3">
      <c r="A41" s="5">
        <v>45943</v>
      </c>
      <c r="B41" s="4" t="s">
        <v>38</v>
      </c>
      <c r="C41" s="4" t="s">
        <v>39</v>
      </c>
      <c r="D41" s="6">
        <v>1.6</v>
      </c>
      <c r="E41" s="4" t="s">
        <v>55</v>
      </c>
    </row>
    <row r="42" spans="1:5" ht="14.25" customHeight="1" x14ac:dyDescent="0.3">
      <c r="A42" s="5">
        <v>45943</v>
      </c>
      <c r="B42" s="4" t="s">
        <v>39</v>
      </c>
      <c r="C42" s="4" t="s">
        <v>47</v>
      </c>
      <c r="D42" s="6">
        <v>1.6</v>
      </c>
      <c r="E42" s="4" t="s">
        <v>55</v>
      </c>
    </row>
    <row r="43" spans="1:5" ht="14.25" customHeight="1" x14ac:dyDescent="0.3">
      <c r="A43" s="5">
        <v>45943</v>
      </c>
      <c r="B43" s="4" t="s">
        <v>47</v>
      </c>
      <c r="C43" s="4" t="s">
        <v>51</v>
      </c>
      <c r="D43" s="6">
        <v>1.6</v>
      </c>
      <c r="E43" s="4" t="s">
        <v>55</v>
      </c>
    </row>
    <row r="44" spans="1:5" ht="14.25" customHeight="1" x14ac:dyDescent="0.3">
      <c r="A44" s="5">
        <v>45943</v>
      </c>
      <c r="B44" s="4" t="s">
        <v>43</v>
      </c>
      <c r="C44" s="4" t="s">
        <v>38</v>
      </c>
      <c r="D44" s="6">
        <v>74.510000000000005</v>
      </c>
      <c r="E44" s="4" t="s">
        <v>54</v>
      </c>
    </row>
    <row r="45" spans="1:5" ht="14.25" customHeight="1" x14ac:dyDescent="0.3">
      <c r="A45" s="18">
        <v>45946</v>
      </c>
      <c r="B45" s="4" t="s">
        <v>38</v>
      </c>
      <c r="C45" s="4" t="s">
        <v>36</v>
      </c>
      <c r="D45" s="6">
        <v>100</v>
      </c>
      <c r="E45" s="4" t="s">
        <v>41</v>
      </c>
    </row>
    <row r="46" spans="1:5" ht="14.25" customHeight="1" x14ac:dyDescent="0.3">
      <c r="A46" s="18">
        <v>45946</v>
      </c>
      <c r="B46" s="4" t="s">
        <v>38</v>
      </c>
      <c r="C46" s="4" t="s">
        <v>36</v>
      </c>
      <c r="D46" s="6">
        <v>100</v>
      </c>
      <c r="E46" s="4" t="s">
        <v>8</v>
      </c>
    </row>
    <row r="47" spans="1:5" ht="14.25" customHeight="1" x14ac:dyDescent="0.3">
      <c r="A47" s="61">
        <v>45951</v>
      </c>
      <c r="B47" s="4" t="s">
        <v>38</v>
      </c>
      <c r="C47" s="4" t="s">
        <v>36</v>
      </c>
      <c r="D47" s="6">
        <v>100</v>
      </c>
      <c r="E47" t="s">
        <v>9</v>
      </c>
    </row>
    <row r="48" spans="1:5" ht="14.25" customHeight="1" x14ac:dyDescent="0.3">
      <c r="A48" s="61">
        <v>45953</v>
      </c>
      <c r="B48" s="4" t="s">
        <v>38</v>
      </c>
      <c r="C48" s="4" t="s">
        <v>36</v>
      </c>
      <c r="D48" s="6">
        <v>100</v>
      </c>
      <c r="E48" t="s">
        <v>49</v>
      </c>
    </row>
    <row r="49" spans="1:5" ht="14.25" customHeight="1" x14ac:dyDescent="0.3">
      <c r="A49" s="61">
        <v>45966</v>
      </c>
      <c r="B49" s="4" t="s">
        <v>38</v>
      </c>
      <c r="C49" s="4" t="s">
        <v>39</v>
      </c>
      <c r="D49" s="6">
        <v>100</v>
      </c>
      <c r="E49" t="s">
        <v>150</v>
      </c>
    </row>
    <row r="50" spans="1:5" ht="14.25" customHeight="1" x14ac:dyDescent="0.3">
      <c r="A50" s="61">
        <v>45966</v>
      </c>
      <c r="B50" s="4" t="s">
        <v>39</v>
      </c>
      <c r="C50" s="4" t="s">
        <v>47</v>
      </c>
      <c r="D50" s="6">
        <v>100</v>
      </c>
    </row>
    <row r="51" spans="1:5" ht="14.25" customHeight="1" x14ac:dyDescent="0.3">
      <c r="D51" s="6"/>
    </row>
    <row r="52" spans="1:5" ht="14.25" customHeight="1" x14ac:dyDescent="0.3">
      <c r="D52" s="6"/>
    </row>
    <row r="53" spans="1:5" ht="14.25" customHeight="1" x14ac:dyDescent="0.3">
      <c r="D53" s="6"/>
    </row>
    <row r="54" spans="1:5" ht="14.25" customHeight="1" x14ac:dyDescent="0.3">
      <c r="D54" s="6"/>
    </row>
    <row r="55" spans="1:5" ht="14.25" customHeight="1" x14ac:dyDescent="0.3">
      <c r="D55" s="6"/>
    </row>
    <row r="56" spans="1:5" ht="14.25" customHeight="1" x14ac:dyDescent="0.3">
      <c r="D56" s="6"/>
    </row>
    <row r="57" spans="1:5" ht="14.25" customHeight="1" x14ac:dyDescent="0.3">
      <c r="D57" s="6"/>
    </row>
    <row r="58" spans="1:5" ht="14.25" customHeight="1" x14ac:dyDescent="0.3">
      <c r="D58" s="6"/>
    </row>
    <row r="59" spans="1:5" ht="14.25" customHeight="1" x14ac:dyDescent="0.3">
      <c r="D59" s="6"/>
    </row>
    <row r="60" spans="1:5" ht="14.25" customHeight="1" x14ac:dyDescent="0.3">
      <c r="D60" s="6"/>
    </row>
    <row r="61" spans="1:5" ht="14.25" customHeight="1" x14ac:dyDescent="0.3">
      <c r="D61" s="6"/>
    </row>
    <row r="62" spans="1:5" ht="14.25" customHeight="1" x14ac:dyDescent="0.3">
      <c r="D62" s="6"/>
    </row>
    <row r="63" spans="1:5" ht="14.25" customHeight="1" x14ac:dyDescent="0.3">
      <c r="D63" s="6"/>
    </row>
    <row r="64" spans="1:5" ht="14.25" customHeight="1" x14ac:dyDescent="0.3">
      <c r="D64" s="6"/>
    </row>
    <row r="65" spans="4:4" ht="14.25" customHeight="1" x14ac:dyDescent="0.3">
      <c r="D65" s="6"/>
    </row>
    <row r="66" spans="4:4" ht="14.25" customHeight="1" x14ac:dyDescent="0.3">
      <c r="D66" s="6"/>
    </row>
    <row r="67" spans="4:4" ht="14.25" customHeight="1" x14ac:dyDescent="0.3">
      <c r="D67" s="6"/>
    </row>
    <row r="68" spans="4:4" ht="14.25" customHeight="1" x14ac:dyDescent="0.3">
      <c r="D68" s="6"/>
    </row>
    <row r="69" spans="4:4" ht="14.25" customHeight="1" x14ac:dyDescent="0.3">
      <c r="D69" s="6"/>
    </row>
    <row r="70" spans="4:4" ht="14.25" customHeight="1" x14ac:dyDescent="0.3">
      <c r="D70" s="6"/>
    </row>
    <row r="71" spans="4:4" ht="14.25" customHeight="1" x14ac:dyDescent="0.3">
      <c r="D71" s="6"/>
    </row>
    <row r="72" spans="4:4" ht="14.25" customHeight="1" x14ac:dyDescent="0.3">
      <c r="D72" s="6"/>
    </row>
    <row r="73" spans="4:4" ht="14.25" customHeight="1" x14ac:dyDescent="0.3">
      <c r="D73" s="6"/>
    </row>
    <row r="74" spans="4:4" ht="14.25" customHeight="1" x14ac:dyDescent="0.3">
      <c r="D74" s="6"/>
    </row>
    <row r="75" spans="4:4" ht="14.25" customHeight="1" x14ac:dyDescent="0.3">
      <c r="D75" s="6"/>
    </row>
    <row r="76" spans="4:4" ht="14.25" customHeight="1" x14ac:dyDescent="0.3">
      <c r="D76" s="6"/>
    </row>
    <row r="77" spans="4:4" ht="14.25" customHeight="1" x14ac:dyDescent="0.3">
      <c r="D77" s="6"/>
    </row>
    <row r="78" spans="4:4" ht="14.25" customHeight="1" x14ac:dyDescent="0.3">
      <c r="D78" s="6"/>
    </row>
    <row r="79" spans="4:4" ht="14.25" customHeight="1" x14ac:dyDescent="0.3">
      <c r="D79" s="6"/>
    </row>
    <row r="80" spans="4:4" ht="14.25" customHeight="1" x14ac:dyDescent="0.3">
      <c r="D80" s="6"/>
    </row>
    <row r="81" spans="4:4" ht="14.25" customHeight="1" x14ac:dyDescent="0.3">
      <c r="D81" s="6"/>
    </row>
    <row r="82" spans="4:4" ht="14.25" customHeight="1" x14ac:dyDescent="0.3">
      <c r="D82" s="6"/>
    </row>
    <row r="83" spans="4:4" ht="14.25" customHeight="1" x14ac:dyDescent="0.3">
      <c r="D83" s="6"/>
    </row>
    <row r="84" spans="4:4" ht="14.25" customHeight="1" x14ac:dyDescent="0.3">
      <c r="D84" s="6"/>
    </row>
    <row r="85" spans="4:4" ht="14.25" customHeight="1" x14ac:dyDescent="0.3">
      <c r="D85" s="6"/>
    </row>
    <row r="86" spans="4:4" ht="14.25" customHeight="1" x14ac:dyDescent="0.3">
      <c r="D86" s="6"/>
    </row>
    <row r="87" spans="4:4" ht="14.25" customHeight="1" x14ac:dyDescent="0.3">
      <c r="D87" s="6"/>
    </row>
    <row r="88" spans="4:4" ht="14.25" customHeight="1" x14ac:dyDescent="0.3">
      <c r="D88" s="6"/>
    </row>
    <row r="89" spans="4:4" ht="14.25" customHeight="1" x14ac:dyDescent="0.3">
      <c r="D89" s="6"/>
    </row>
    <row r="90" spans="4:4" ht="14.25" customHeight="1" x14ac:dyDescent="0.3">
      <c r="D90" s="6"/>
    </row>
    <row r="91" spans="4:4" ht="14.25" customHeight="1" x14ac:dyDescent="0.3">
      <c r="D91" s="6"/>
    </row>
    <row r="92" spans="4:4" ht="14.25" customHeight="1" x14ac:dyDescent="0.3">
      <c r="D92" s="6"/>
    </row>
    <row r="93" spans="4:4" ht="14.25" customHeight="1" x14ac:dyDescent="0.3">
      <c r="D93" s="6"/>
    </row>
    <row r="94" spans="4:4" ht="14.25" customHeight="1" x14ac:dyDescent="0.3">
      <c r="D94" s="6"/>
    </row>
    <row r="95" spans="4:4" ht="14.25" customHeight="1" x14ac:dyDescent="0.3">
      <c r="D95" s="6"/>
    </row>
    <row r="96" spans="4:4" ht="14.25" customHeight="1" x14ac:dyDescent="0.3">
      <c r="D96" s="6"/>
    </row>
    <row r="97" spans="4:4" ht="14.25" customHeight="1" x14ac:dyDescent="0.3">
      <c r="D97" s="6"/>
    </row>
    <row r="98" spans="4:4" ht="14.25" customHeight="1" x14ac:dyDescent="0.3">
      <c r="D98" s="6"/>
    </row>
    <row r="99" spans="4:4" ht="14.25" customHeight="1" x14ac:dyDescent="0.3">
      <c r="D99" s="6"/>
    </row>
    <row r="100" spans="4:4" ht="14.25" customHeight="1" x14ac:dyDescent="0.3">
      <c r="D100" s="6"/>
    </row>
    <row r="101" spans="4:4" ht="14.25" customHeight="1" x14ac:dyDescent="0.3">
      <c r="D101" s="6"/>
    </row>
    <row r="102" spans="4:4" ht="14.25" customHeight="1" x14ac:dyDescent="0.3">
      <c r="D102" s="6"/>
    </row>
    <row r="103" spans="4:4" ht="14.25" customHeight="1" x14ac:dyDescent="0.3">
      <c r="D103" s="6"/>
    </row>
    <row r="104" spans="4:4" ht="14.25" customHeight="1" x14ac:dyDescent="0.3">
      <c r="D104" s="6"/>
    </row>
    <row r="105" spans="4:4" ht="14.25" customHeight="1" x14ac:dyDescent="0.3">
      <c r="D105" s="6"/>
    </row>
    <row r="106" spans="4:4" ht="14.25" customHeight="1" x14ac:dyDescent="0.3">
      <c r="D106" s="6"/>
    </row>
    <row r="107" spans="4:4" ht="14.25" customHeight="1" x14ac:dyDescent="0.3">
      <c r="D107" s="6"/>
    </row>
    <row r="108" spans="4:4" ht="14.25" customHeight="1" x14ac:dyDescent="0.3">
      <c r="D108" s="6"/>
    </row>
    <row r="109" spans="4:4" ht="14.25" customHeight="1" x14ac:dyDescent="0.3">
      <c r="D109" s="6"/>
    </row>
    <row r="110" spans="4:4" ht="14.25" customHeight="1" x14ac:dyDescent="0.3">
      <c r="D110" s="6"/>
    </row>
    <row r="111" spans="4:4" ht="14.25" customHeight="1" x14ac:dyDescent="0.3">
      <c r="D111" s="6"/>
    </row>
    <row r="112" spans="4:4" ht="14.25" customHeight="1" x14ac:dyDescent="0.3">
      <c r="D112" s="6"/>
    </row>
    <row r="113" spans="4:4" ht="14.25" customHeight="1" x14ac:dyDescent="0.3">
      <c r="D113" s="6"/>
    </row>
    <row r="114" spans="4:4" ht="14.25" customHeight="1" x14ac:dyDescent="0.3">
      <c r="D114" s="6"/>
    </row>
    <row r="115" spans="4:4" ht="14.25" customHeight="1" x14ac:dyDescent="0.3">
      <c r="D115" s="6"/>
    </row>
    <row r="116" spans="4:4" ht="14.25" customHeight="1" x14ac:dyDescent="0.3">
      <c r="D116" s="6"/>
    </row>
    <row r="117" spans="4:4" ht="14.25" customHeight="1" x14ac:dyDescent="0.3">
      <c r="D117" s="6"/>
    </row>
    <row r="118" spans="4:4" ht="14.25" customHeight="1" x14ac:dyDescent="0.3">
      <c r="D118" s="6"/>
    </row>
    <row r="119" spans="4:4" ht="14.25" customHeight="1" x14ac:dyDescent="0.3">
      <c r="D119" s="6"/>
    </row>
    <row r="120" spans="4:4" ht="14.25" customHeight="1" x14ac:dyDescent="0.3">
      <c r="D120" s="6"/>
    </row>
    <row r="121" spans="4:4" ht="14.25" customHeight="1" x14ac:dyDescent="0.3">
      <c r="D121" s="6"/>
    </row>
    <row r="122" spans="4:4" ht="14.25" customHeight="1" x14ac:dyDescent="0.3">
      <c r="D122" s="6"/>
    </row>
    <row r="123" spans="4:4" ht="14.25" customHeight="1" x14ac:dyDescent="0.3">
      <c r="D123" s="6"/>
    </row>
    <row r="124" spans="4:4" ht="14.25" customHeight="1" x14ac:dyDescent="0.3">
      <c r="D124" s="6"/>
    </row>
    <row r="125" spans="4:4" ht="14.25" customHeight="1" x14ac:dyDescent="0.3">
      <c r="D125" s="6"/>
    </row>
    <row r="126" spans="4:4" ht="14.25" customHeight="1" x14ac:dyDescent="0.3">
      <c r="D126" s="6"/>
    </row>
    <row r="127" spans="4:4" ht="14.25" customHeight="1" x14ac:dyDescent="0.3">
      <c r="D127" s="6"/>
    </row>
    <row r="128" spans="4:4" ht="14.25" customHeight="1" x14ac:dyDescent="0.3">
      <c r="D128" s="6"/>
    </row>
    <row r="129" spans="4:4" ht="14.25" customHeight="1" x14ac:dyDescent="0.3">
      <c r="D129" s="6"/>
    </row>
    <row r="130" spans="4:4" ht="14.25" customHeight="1" x14ac:dyDescent="0.3">
      <c r="D130" s="6"/>
    </row>
    <row r="131" spans="4:4" ht="14.25" customHeight="1" x14ac:dyDescent="0.3">
      <c r="D131" s="6"/>
    </row>
    <row r="132" spans="4:4" ht="14.25" customHeight="1" x14ac:dyDescent="0.3">
      <c r="D132" s="6"/>
    </row>
    <row r="133" spans="4:4" ht="14.25" customHeight="1" x14ac:dyDescent="0.3">
      <c r="D133" s="6"/>
    </row>
    <row r="134" spans="4:4" ht="14.25" customHeight="1" x14ac:dyDescent="0.3">
      <c r="D134" s="6"/>
    </row>
    <row r="135" spans="4:4" ht="14.25" customHeight="1" x14ac:dyDescent="0.3">
      <c r="D135" s="6"/>
    </row>
    <row r="136" spans="4:4" ht="14.25" customHeight="1" x14ac:dyDescent="0.3">
      <c r="D136" s="6"/>
    </row>
    <row r="137" spans="4:4" ht="14.25" customHeight="1" x14ac:dyDescent="0.3">
      <c r="D137" s="6"/>
    </row>
    <row r="138" spans="4:4" ht="14.25" customHeight="1" x14ac:dyDescent="0.3">
      <c r="D138" s="6"/>
    </row>
    <row r="139" spans="4:4" ht="14.25" customHeight="1" x14ac:dyDescent="0.3">
      <c r="D139" s="6"/>
    </row>
    <row r="140" spans="4:4" ht="14.25" customHeight="1" x14ac:dyDescent="0.3">
      <c r="D140" s="6"/>
    </row>
    <row r="141" spans="4:4" ht="14.25" customHeight="1" x14ac:dyDescent="0.3">
      <c r="D141" s="6"/>
    </row>
    <row r="142" spans="4:4" ht="14.25" customHeight="1" x14ac:dyDescent="0.3">
      <c r="D142" s="6"/>
    </row>
    <row r="143" spans="4:4" ht="14.25" customHeight="1" x14ac:dyDescent="0.3">
      <c r="D143" s="6"/>
    </row>
    <row r="144" spans="4:4" ht="14.25" customHeight="1" x14ac:dyDescent="0.3">
      <c r="D144" s="6"/>
    </row>
    <row r="145" spans="4:4" ht="14.25" customHeight="1" x14ac:dyDescent="0.3">
      <c r="D145" s="6"/>
    </row>
    <row r="146" spans="4:4" ht="14.25" customHeight="1" x14ac:dyDescent="0.3">
      <c r="D146" s="6"/>
    </row>
    <row r="147" spans="4:4" ht="14.25" customHeight="1" x14ac:dyDescent="0.3">
      <c r="D147" s="6"/>
    </row>
    <row r="148" spans="4:4" ht="14.25" customHeight="1" x14ac:dyDescent="0.3">
      <c r="D148" s="6"/>
    </row>
    <row r="149" spans="4:4" ht="14.25" customHeight="1" x14ac:dyDescent="0.3">
      <c r="D149" s="6"/>
    </row>
    <row r="150" spans="4:4" ht="14.25" customHeight="1" x14ac:dyDescent="0.3">
      <c r="D150" s="6"/>
    </row>
    <row r="151" spans="4:4" ht="14.25" customHeight="1" x14ac:dyDescent="0.3">
      <c r="D151" s="6"/>
    </row>
    <row r="152" spans="4:4" ht="14.25" customHeight="1" x14ac:dyDescent="0.3">
      <c r="D152" s="6"/>
    </row>
    <row r="153" spans="4:4" ht="14.25" customHeight="1" x14ac:dyDescent="0.3">
      <c r="D153" s="6"/>
    </row>
    <row r="154" spans="4:4" ht="14.25" customHeight="1" x14ac:dyDescent="0.3">
      <c r="D154" s="6"/>
    </row>
    <row r="155" spans="4:4" ht="14.25" customHeight="1" x14ac:dyDescent="0.3">
      <c r="D155" s="6"/>
    </row>
    <row r="156" spans="4:4" ht="14.25" customHeight="1" x14ac:dyDescent="0.3">
      <c r="D156" s="6"/>
    </row>
    <row r="157" spans="4:4" ht="14.25" customHeight="1" x14ac:dyDescent="0.3">
      <c r="D157" s="6"/>
    </row>
    <row r="158" spans="4:4" ht="14.25" customHeight="1" x14ac:dyDescent="0.3">
      <c r="D158" s="6"/>
    </row>
    <row r="159" spans="4:4" ht="14.25" customHeight="1" x14ac:dyDescent="0.3">
      <c r="D159" s="6"/>
    </row>
    <row r="160" spans="4:4" ht="14.25" customHeight="1" x14ac:dyDescent="0.3">
      <c r="D160" s="6"/>
    </row>
    <row r="161" spans="4:4" ht="14.25" customHeight="1" x14ac:dyDescent="0.3">
      <c r="D161" s="6"/>
    </row>
    <row r="162" spans="4:4" ht="14.25" customHeight="1" x14ac:dyDescent="0.3">
      <c r="D162" s="6"/>
    </row>
    <row r="163" spans="4:4" ht="14.25" customHeight="1" x14ac:dyDescent="0.3">
      <c r="D163" s="6"/>
    </row>
    <row r="164" spans="4:4" ht="14.25" customHeight="1" x14ac:dyDescent="0.3">
      <c r="D164" s="6"/>
    </row>
    <row r="165" spans="4:4" ht="14.25" customHeight="1" x14ac:dyDescent="0.3">
      <c r="D165" s="6"/>
    </row>
    <row r="166" spans="4:4" ht="14.25" customHeight="1" x14ac:dyDescent="0.3">
      <c r="D166" s="6"/>
    </row>
    <row r="167" spans="4:4" ht="14.25" customHeight="1" x14ac:dyDescent="0.3">
      <c r="D167" s="6"/>
    </row>
    <row r="168" spans="4:4" ht="14.25" customHeight="1" x14ac:dyDescent="0.3">
      <c r="D168" s="6"/>
    </row>
    <row r="169" spans="4:4" ht="14.25" customHeight="1" x14ac:dyDescent="0.3">
      <c r="D169" s="6"/>
    </row>
    <row r="170" spans="4:4" ht="14.25" customHeight="1" x14ac:dyDescent="0.3">
      <c r="D170" s="6"/>
    </row>
    <row r="171" spans="4:4" ht="14.25" customHeight="1" x14ac:dyDescent="0.3">
      <c r="D171" s="6"/>
    </row>
    <row r="172" spans="4:4" ht="14.25" customHeight="1" x14ac:dyDescent="0.3">
      <c r="D172" s="6"/>
    </row>
    <row r="173" spans="4:4" ht="14.25" customHeight="1" x14ac:dyDescent="0.3">
      <c r="D173" s="6"/>
    </row>
    <row r="174" spans="4:4" ht="14.25" customHeight="1" x14ac:dyDescent="0.3">
      <c r="D174" s="6"/>
    </row>
    <row r="175" spans="4:4" ht="14.25" customHeight="1" x14ac:dyDescent="0.3">
      <c r="D175" s="6"/>
    </row>
    <row r="176" spans="4:4" ht="14.25" customHeight="1" x14ac:dyDescent="0.3">
      <c r="D176" s="6"/>
    </row>
    <row r="177" spans="4:4" ht="14.25" customHeight="1" x14ac:dyDescent="0.3">
      <c r="D177" s="6"/>
    </row>
    <row r="178" spans="4:4" ht="14.25" customHeight="1" x14ac:dyDescent="0.3">
      <c r="D178" s="6"/>
    </row>
    <row r="179" spans="4:4" ht="14.25" customHeight="1" x14ac:dyDescent="0.3">
      <c r="D179" s="6"/>
    </row>
    <row r="180" spans="4:4" ht="14.25" customHeight="1" x14ac:dyDescent="0.3">
      <c r="D180" s="6"/>
    </row>
    <row r="181" spans="4:4" ht="14.25" customHeight="1" x14ac:dyDescent="0.3">
      <c r="D181" s="6"/>
    </row>
    <row r="182" spans="4:4" ht="14.25" customHeight="1" x14ac:dyDescent="0.3">
      <c r="D182" s="6"/>
    </row>
    <row r="183" spans="4:4" ht="14.25" customHeight="1" x14ac:dyDescent="0.3">
      <c r="D183" s="6"/>
    </row>
    <row r="184" spans="4:4" ht="14.25" customHeight="1" x14ac:dyDescent="0.3">
      <c r="D184" s="6"/>
    </row>
    <row r="185" spans="4:4" ht="14.25" customHeight="1" x14ac:dyDescent="0.3">
      <c r="D185" s="6"/>
    </row>
    <row r="186" spans="4:4" ht="14.25" customHeight="1" x14ac:dyDescent="0.3">
      <c r="D186" s="6"/>
    </row>
    <row r="187" spans="4:4" ht="14.25" customHeight="1" x14ac:dyDescent="0.3">
      <c r="D187" s="6"/>
    </row>
    <row r="188" spans="4:4" ht="14.25" customHeight="1" x14ac:dyDescent="0.3">
      <c r="D188" s="6"/>
    </row>
    <row r="189" spans="4:4" ht="14.25" customHeight="1" x14ac:dyDescent="0.3">
      <c r="D189" s="6"/>
    </row>
    <row r="190" spans="4:4" ht="14.25" customHeight="1" x14ac:dyDescent="0.3">
      <c r="D190" s="6"/>
    </row>
    <row r="191" spans="4:4" ht="14.25" customHeight="1" x14ac:dyDescent="0.3">
      <c r="D191" s="6"/>
    </row>
    <row r="192" spans="4:4" ht="14.25" customHeight="1" x14ac:dyDescent="0.3">
      <c r="D192" s="6"/>
    </row>
    <row r="193" spans="4:4" ht="14.25" customHeight="1" x14ac:dyDescent="0.3">
      <c r="D193" s="6"/>
    </row>
    <row r="194" spans="4:4" ht="14.25" customHeight="1" x14ac:dyDescent="0.3">
      <c r="D194" s="6"/>
    </row>
    <row r="195" spans="4:4" ht="14.25" customHeight="1" x14ac:dyDescent="0.3">
      <c r="D195" s="6"/>
    </row>
    <row r="196" spans="4:4" ht="14.25" customHeight="1" x14ac:dyDescent="0.3">
      <c r="D196" s="6"/>
    </row>
    <row r="197" spans="4:4" ht="14.25" customHeight="1" x14ac:dyDescent="0.3">
      <c r="D197" s="6"/>
    </row>
    <row r="198" spans="4:4" ht="14.25" customHeight="1" x14ac:dyDescent="0.3">
      <c r="D198" s="6"/>
    </row>
    <row r="199" spans="4:4" ht="14.25" customHeight="1" x14ac:dyDescent="0.3">
      <c r="D199" s="6"/>
    </row>
    <row r="200" spans="4:4" ht="14.25" customHeight="1" x14ac:dyDescent="0.3">
      <c r="D200" s="6"/>
    </row>
    <row r="201" spans="4:4" ht="14.25" customHeight="1" x14ac:dyDescent="0.3">
      <c r="D201" s="6"/>
    </row>
    <row r="202" spans="4:4" ht="14.25" customHeight="1" x14ac:dyDescent="0.3">
      <c r="D202" s="6"/>
    </row>
    <row r="203" spans="4:4" ht="14.25" customHeight="1" x14ac:dyDescent="0.3">
      <c r="D203" s="6"/>
    </row>
    <row r="204" spans="4:4" ht="14.25" customHeight="1" x14ac:dyDescent="0.3">
      <c r="D204" s="6"/>
    </row>
    <row r="205" spans="4:4" ht="14.25" customHeight="1" x14ac:dyDescent="0.3">
      <c r="D205" s="6"/>
    </row>
    <row r="206" spans="4:4" ht="14.25" customHeight="1" x14ac:dyDescent="0.3">
      <c r="D206" s="6"/>
    </row>
    <row r="207" spans="4:4" ht="14.25" customHeight="1" x14ac:dyDescent="0.3">
      <c r="D207" s="6"/>
    </row>
    <row r="208" spans="4:4" ht="14.25" customHeight="1" x14ac:dyDescent="0.3">
      <c r="D208" s="6"/>
    </row>
    <row r="209" spans="4:4" ht="14.25" customHeight="1" x14ac:dyDescent="0.3">
      <c r="D209" s="6"/>
    </row>
    <row r="210" spans="4:4" ht="14.25" customHeight="1" x14ac:dyDescent="0.3">
      <c r="D210" s="6"/>
    </row>
    <row r="211" spans="4:4" ht="14.25" customHeight="1" x14ac:dyDescent="0.3">
      <c r="D211" s="6"/>
    </row>
    <row r="212" spans="4:4" ht="14.25" customHeight="1" x14ac:dyDescent="0.3">
      <c r="D212" s="6"/>
    </row>
    <row r="213" spans="4:4" ht="14.25" customHeight="1" x14ac:dyDescent="0.3">
      <c r="D213" s="6"/>
    </row>
    <row r="214" spans="4:4" ht="14.25" customHeight="1" x14ac:dyDescent="0.3">
      <c r="D214" s="6"/>
    </row>
    <row r="215" spans="4:4" ht="14.25" customHeight="1" x14ac:dyDescent="0.3">
      <c r="D215" s="6"/>
    </row>
    <row r="216" spans="4:4" ht="14.25" customHeight="1" x14ac:dyDescent="0.3">
      <c r="D216" s="6"/>
    </row>
    <row r="217" spans="4:4" ht="14.25" customHeight="1" x14ac:dyDescent="0.3">
      <c r="D217" s="6"/>
    </row>
    <row r="218" spans="4:4" ht="14.25" customHeight="1" x14ac:dyDescent="0.3">
      <c r="D218" s="6"/>
    </row>
    <row r="219" spans="4:4" ht="14.25" customHeight="1" x14ac:dyDescent="0.3">
      <c r="D219" s="6"/>
    </row>
    <row r="220" spans="4:4" ht="14.25" customHeight="1" x14ac:dyDescent="0.3">
      <c r="D220" s="6"/>
    </row>
    <row r="221" spans="4:4" ht="14.25" customHeight="1" x14ac:dyDescent="0.3">
      <c r="D221" s="6"/>
    </row>
    <row r="222" spans="4:4" ht="14.25" customHeight="1" x14ac:dyDescent="0.3">
      <c r="D222" s="6"/>
    </row>
    <row r="223" spans="4:4" ht="14.25" customHeight="1" x14ac:dyDescent="0.3">
      <c r="D223" s="6"/>
    </row>
    <row r="224" spans="4:4" ht="14.25" customHeight="1" x14ac:dyDescent="0.3">
      <c r="D224" s="6"/>
    </row>
    <row r="225" spans="4:4" ht="14.25" customHeight="1" x14ac:dyDescent="0.3">
      <c r="D225" s="6"/>
    </row>
    <row r="226" spans="4:4" ht="14.25" customHeight="1" x14ac:dyDescent="0.3">
      <c r="D226" s="6"/>
    </row>
    <row r="227" spans="4:4" ht="14.25" customHeight="1" x14ac:dyDescent="0.3">
      <c r="D227" s="6"/>
    </row>
    <row r="228" spans="4:4" ht="14.25" customHeight="1" x14ac:dyDescent="0.3">
      <c r="D228" s="6"/>
    </row>
    <row r="229" spans="4:4" ht="14.25" customHeight="1" x14ac:dyDescent="0.3">
      <c r="D229" s="6"/>
    </row>
    <row r="230" spans="4:4" ht="14.25" customHeight="1" x14ac:dyDescent="0.3">
      <c r="D230" s="6"/>
    </row>
    <row r="231" spans="4:4" ht="14.25" customHeight="1" x14ac:dyDescent="0.3">
      <c r="D231" s="6"/>
    </row>
    <row r="232" spans="4:4" ht="14.25" customHeight="1" x14ac:dyDescent="0.3">
      <c r="D232" s="6"/>
    </row>
    <row r="233" spans="4:4" ht="14.25" customHeight="1" x14ac:dyDescent="0.3">
      <c r="D233" s="6"/>
    </row>
    <row r="234" spans="4:4" ht="14.25" customHeight="1" x14ac:dyDescent="0.3">
      <c r="D234" s="6"/>
    </row>
    <row r="235" spans="4:4" ht="14.25" customHeight="1" x14ac:dyDescent="0.3">
      <c r="D235" s="6"/>
    </row>
    <row r="236" spans="4:4" ht="14.25" customHeight="1" x14ac:dyDescent="0.3">
      <c r="D236" s="6"/>
    </row>
    <row r="237" spans="4:4" ht="14.25" customHeight="1" x14ac:dyDescent="0.3">
      <c r="D237" s="6"/>
    </row>
    <row r="238" spans="4:4" ht="14.25" customHeight="1" x14ac:dyDescent="0.3">
      <c r="D238" s="6"/>
    </row>
    <row r="239" spans="4:4" ht="14.25" customHeight="1" x14ac:dyDescent="0.3">
      <c r="D239" s="6"/>
    </row>
    <row r="240" spans="4:4" ht="14.25" customHeight="1" x14ac:dyDescent="0.3">
      <c r="D240" s="6"/>
    </row>
    <row r="241" spans="4:4" ht="14.25" customHeight="1" x14ac:dyDescent="0.3">
      <c r="D241" s="6"/>
    </row>
    <row r="242" spans="4:4" ht="14.25" customHeight="1" x14ac:dyDescent="0.3">
      <c r="D242" s="6"/>
    </row>
    <row r="243" spans="4:4" ht="14.25" customHeight="1" x14ac:dyDescent="0.3">
      <c r="D243" s="6"/>
    </row>
    <row r="244" spans="4:4" ht="14.25" customHeight="1" x14ac:dyDescent="0.3">
      <c r="D244" s="6"/>
    </row>
    <row r="245" spans="4:4" ht="14.25" customHeight="1" x14ac:dyDescent="0.3">
      <c r="D245" s="6"/>
    </row>
    <row r="246" spans="4:4" ht="14.25" customHeight="1" x14ac:dyDescent="0.3">
      <c r="D246" s="6"/>
    </row>
    <row r="247" spans="4:4" ht="14.25" customHeight="1" x14ac:dyDescent="0.3">
      <c r="D247" s="6"/>
    </row>
    <row r="248" spans="4:4" ht="14.25" customHeight="1" x14ac:dyDescent="0.3">
      <c r="D248" s="6"/>
    </row>
    <row r="249" spans="4:4" ht="14.25" customHeight="1" x14ac:dyDescent="0.3">
      <c r="D249" s="6"/>
    </row>
    <row r="250" spans="4:4" ht="14.25" customHeight="1" x14ac:dyDescent="0.3">
      <c r="D250" s="6"/>
    </row>
    <row r="251" spans="4:4" ht="14.25" customHeight="1" x14ac:dyDescent="0.3">
      <c r="D251" s="6"/>
    </row>
    <row r="252" spans="4:4" ht="14.25" customHeight="1" x14ac:dyDescent="0.3">
      <c r="D252" s="6"/>
    </row>
    <row r="253" spans="4:4" ht="14.25" customHeight="1" x14ac:dyDescent="0.3">
      <c r="D253" s="6"/>
    </row>
    <row r="254" spans="4:4" ht="14.25" customHeight="1" x14ac:dyDescent="0.3">
      <c r="D254" s="6"/>
    </row>
    <row r="255" spans="4:4" ht="14.25" customHeight="1" x14ac:dyDescent="0.3">
      <c r="D255" s="6"/>
    </row>
    <row r="256" spans="4:4" ht="14.25" customHeight="1" x14ac:dyDescent="0.3">
      <c r="D256" s="6"/>
    </row>
    <row r="257" spans="4:4" ht="14.25" customHeight="1" x14ac:dyDescent="0.3">
      <c r="D257" s="6"/>
    </row>
    <row r="258" spans="4:4" ht="14.25" customHeight="1" x14ac:dyDescent="0.3">
      <c r="D258" s="6"/>
    </row>
    <row r="259" spans="4:4" ht="14.25" customHeight="1" x14ac:dyDescent="0.3">
      <c r="D259" s="6"/>
    </row>
    <row r="260" spans="4:4" ht="14.25" customHeight="1" x14ac:dyDescent="0.3">
      <c r="D260" s="6"/>
    </row>
    <row r="261" spans="4:4" ht="14.25" customHeight="1" x14ac:dyDescent="0.3">
      <c r="D261" s="6"/>
    </row>
    <row r="262" spans="4:4" ht="14.25" customHeight="1" x14ac:dyDescent="0.3">
      <c r="D262" s="6"/>
    </row>
    <row r="263" spans="4:4" ht="14.25" customHeight="1" x14ac:dyDescent="0.3">
      <c r="D263" s="6"/>
    </row>
    <row r="264" spans="4:4" ht="14.25" customHeight="1" x14ac:dyDescent="0.3">
      <c r="D264" s="6"/>
    </row>
    <row r="265" spans="4:4" ht="14.25" customHeight="1" x14ac:dyDescent="0.3">
      <c r="D265" s="6"/>
    </row>
    <row r="266" spans="4:4" ht="14.25" customHeight="1" x14ac:dyDescent="0.3">
      <c r="D266" s="6"/>
    </row>
    <row r="267" spans="4:4" ht="14.25" customHeight="1" x14ac:dyDescent="0.3">
      <c r="D267" s="6"/>
    </row>
    <row r="268" spans="4:4" ht="14.25" customHeight="1" x14ac:dyDescent="0.3">
      <c r="D268" s="6"/>
    </row>
    <row r="269" spans="4:4" ht="14.25" customHeight="1" x14ac:dyDescent="0.3">
      <c r="D269" s="6"/>
    </row>
    <row r="270" spans="4:4" ht="14.25" customHeight="1" x14ac:dyDescent="0.3">
      <c r="D270" s="6"/>
    </row>
    <row r="271" spans="4:4" ht="14.25" customHeight="1" x14ac:dyDescent="0.3">
      <c r="D271" s="6"/>
    </row>
    <row r="272" spans="4:4" ht="14.25" customHeight="1" x14ac:dyDescent="0.3">
      <c r="D272" s="6"/>
    </row>
    <row r="273" spans="4:4" ht="14.25" customHeight="1" x14ac:dyDescent="0.3">
      <c r="D273" s="6"/>
    </row>
    <row r="274" spans="4:4" ht="14.25" customHeight="1" x14ac:dyDescent="0.3">
      <c r="D274" s="6"/>
    </row>
    <row r="275" spans="4:4" ht="14.25" customHeight="1" x14ac:dyDescent="0.3">
      <c r="D275" s="6"/>
    </row>
    <row r="276" spans="4:4" ht="14.25" customHeight="1" x14ac:dyDescent="0.3">
      <c r="D276" s="6"/>
    </row>
    <row r="277" spans="4:4" ht="14.25" customHeight="1" x14ac:dyDescent="0.3">
      <c r="D277" s="6"/>
    </row>
    <row r="278" spans="4:4" ht="14.25" customHeight="1" x14ac:dyDescent="0.3">
      <c r="D278" s="6"/>
    </row>
    <row r="279" spans="4:4" ht="14.25" customHeight="1" x14ac:dyDescent="0.3">
      <c r="D279" s="6"/>
    </row>
    <row r="280" spans="4:4" ht="14.25" customHeight="1" x14ac:dyDescent="0.3">
      <c r="D280" s="6"/>
    </row>
    <row r="281" spans="4:4" ht="14.25" customHeight="1" x14ac:dyDescent="0.3">
      <c r="D281" s="6"/>
    </row>
    <row r="282" spans="4:4" ht="14.25" customHeight="1" x14ac:dyDescent="0.3">
      <c r="D282" s="6"/>
    </row>
    <row r="283" spans="4:4" ht="14.25" customHeight="1" x14ac:dyDescent="0.3">
      <c r="D283" s="6"/>
    </row>
    <row r="284" spans="4:4" ht="14.25" customHeight="1" x14ac:dyDescent="0.3">
      <c r="D284" s="6"/>
    </row>
    <row r="285" spans="4:4" ht="14.25" customHeight="1" x14ac:dyDescent="0.3">
      <c r="D285" s="6"/>
    </row>
    <row r="286" spans="4:4" ht="14.25" customHeight="1" x14ac:dyDescent="0.3">
      <c r="D286" s="6"/>
    </row>
    <row r="287" spans="4:4" ht="14.25" customHeight="1" x14ac:dyDescent="0.3">
      <c r="D287" s="6"/>
    </row>
    <row r="288" spans="4:4" ht="14.25" customHeight="1" x14ac:dyDescent="0.3">
      <c r="D288" s="6"/>
    </row>
    <row r="289" spans="4:4" ht="14.25" customHeight="1" x14ac:dyDescent="0.3">
      <c r="D289" s="6"/>
    </row>
    <row r="290" spans="4:4" ht="14.25" customHeight="1" x14ac:dyDescent="0.3">
      <c r="D290" s="6"/>
    </row>
    <row r="291" spans="4:4" ht="14.25" customHeight="1" x14ac:dyDescent="0.3">
      <c r="D291" s="6"/>
    </row>
    <row r="292" spans="4:4" ht="14.25" customHeight="1" x14ac:dyDescent="0.3">
      <c r="D292" s="6"/>
    </row>
    <row r="293" spans="4:4" ht="14.25" customHeight="1" x14ac:dyDescent="0.3">
      <c r="D293" s="6"/>
    </row>
    <row r="294" spans="4:4" ht="14.25" customHeight="1" x14ac:dyDescent="0.3">
      <c r="D294" s="6"/>
    </row>
    <row r="295" spans="4:4" ht="14.25" customHeight="1" x14ac:dyDescent="0.3">
      <c r="D295" s="6"/>
    </row>
    <row r="296" spans="4:4" ht="14.25" customHeight="1" x14ac:dyDescent="0.3">
      <c r="D296" s="6"/>
    </row>
    <row r="297" spans="4:4" ht="14.25" customHeight="1" x14ac:dyDescent="0.3">
      <c r="D297" s="6"/>
    </row>
    <row r="298" spans="4:4" ht="14.25" customHeight="1" x14ac:dyDescent="0.3">
      <c r="D298" s="6"/>
    </row>
    <row r="299" spans="4:4" ht="14.25" customHeight="1" x14ac:dyDescent="0.3">
      <c r="D299" s="6"/>
    </row>
    <row r="300" spans="4:4" ht="14.25" customHeight="1" x14ac:dyDescent="0.3">
      <c r="D300" s="6"/>
    </row>
    <row r="301" spans="4:4" ht="14.25" customHeight="1" x14ac:dyDescent="0.3">
      <c r="D301" s="6"/>
    </row>
    <row r="302" spans="4:4" ht="14.25" customHeight="1" x14ac:dyDescent="0.3">
      <c r="D302" s="6"/>
    </row>
    <row r="303" spans="4:4" ht="14.25" customHeight="1" x14ac:dyDescent="0.3">
      <c r="D303" s="6"/>
    </row>
    <row r="304" spans="4:4" ht="14.25" customHeight="1" x14ac:dyDescent="0.3">
      <c r="D304" s="6"/>
    </row>
    <row r="305" spans="4:4" ht="14.25" customHeight="1" x14ac:dyDescent="0.3">
      <c r="D305" s="6"/>
    </row>
    <row r="306" spans="4:4" ht="14.25" customHeight="1" x14ac:dyDescent="0.3">
      <c r="D306" s="6"/>
    </row>
    <row r="307" spans="4:4" ht="14.25" customHeight="1" x14ac:dyDescent="0.3">
      <c r="D307" s="6"/>
    </row>
    <row r="308" spans="4:4" ht="14.25" customHeight="1" x14ac:dyDescent="0.3">
      <c r="D308" s="6"/>
    </row>
    <row r="309" spans="4:4" ht="14.25" customHeight="1" x14ac:dyDescent="0.3">
      <c r="D309" s="6"/>
    </row>
    <row r="310" spans="4:4" ht="14.25" customHeight="1" x14ac:dyDescent="0.3">
      <c r="D310" s="6"/>
    </row>
    <row r="311" spans="4:4" ht="14.25" customHeight="1" x14ac:dyDescent="0.3">
      <c r="D311" s="6"/>
    </row>
    <row r="312" spans="4:4" ht="14.25" customHeight="1" x14ac:dyDescent="0.3">
      <c r="D312" s="6"/>
    </row>
    <row r="313" spans="4:4" ht="14.25" customHeight="1" x14ac:dyDescent="0.3">
      <c r="D313" s="6"/>
    </row>
    <row r="314" spans="4:4" ht="14.25" customHeight="1" x14ac:dyDescent="0.3">
      <c r="D314" s="6"/>
    </row>
    <row r="315" spans="4:4" ht="14.25" customHeight="1" x14ac:dyDescent="0.3">
      <c r="D315" s="6"/>
    </row>
    <row r="316" spans="4:4" ht="14.25" customHeight="1" x14ac:dyDescent="0.3">
      <c r="D316" s="6"/>
    </row>
    <row r="317" spans="4:4" ht="14.25" customHeight="1" x14ac:dyDescent="0.3">
      <c r="D317" s="6"/>
    </row>
    <row r="318" spans="4:4" ht="14.25" customHeight="1" x14ac:dyDescent="0.3">
      <c r="D318" s="6"/>
    </row>
    <row r="319" spans="4:4" ht="14.25" customHeight="1" x14ac:dyDescent="0.3">
      <c r="D319" s="6"/>
    </row>
    <row r="320" spans="4:4" ht="14.25" customHeight="1" x14ac:dyDescent="0.3">
      <c r="D320" s="6"/>
    </row>
    <row r="321" spans="4:4" ht="14.25" customHeight="1" x14ac:dyDescent="0.3">
      <c r="D321" s="6"/>
    </row>
    <row r="322" spans="4:4" ht="14.25" customHeight="1" x14ac:dyDescent="0.3">
      <c r="D322" s="6"/>
    </row>
    <row r="323" spans="4:4" ht="14.25" customHeight="1" x14ac:dyDescent="0.3">
      <c r="D323" s="6"/>
    </row>
    <row r="324" spans="4:4" ht="14.25" customHeight="1" x14ac:dyDescent="0.3">
      <c r="D324" s="6"/>
    </row>
    <row r="325" spans="4:4" ht="14.25" customHeight="1" x14ac:dyDescent="0.3">
      <c r="D325" s="6"/>
    </row>
    <row r="326" spans="4:4" ht="14.25" customHeight="1" x14ac:dyDescent="0.3">
      <c r="D326" s="6"/>
    </row>
    <row r="327" spans="4:4" ht="14.25" customHeight="1" x14ac:dyDescent="0.3">
      <c r="D327" s="6"/>
    </row>
    <row r="328" spans="4:4" ht="14.25" customHeight="1" x14ac:dyDescent="0.3">
      <c r="D328" s="6"/>
    </row>
    <row r="329" spans="4:4" ht="14.25" customHeight="1" x14ac:dyDescent="0.3">
      <c r="D329" s="6"/>
    </row>
    <row r="330" spans="4:4" ht="14.25" customHeight="1" x14ac:dyDescent="0.3">
      <c r="D330" s="6"/>
    </row>
    <row r="331" spans="4:4" ht="14.25" customHeight="1" x14ac:dyDescent="0.3">
      <c r="D331" s="6"/>
    </row>
    <row r="332" spans="4:4" ht="14.25" customHeight="1" x14ac:dyDescent="0.3">
      <c r="D332" s="6"/>
    </row>
    <row r="333" spans="4:4" ht="14.25" customHeight="1" x14ac:dyDescent="0.3">
      <c r="D333" s="6"/>
    </row>
    <row r="334" spans="4:4" ht="14.25" customHeight="1" x14ac:dyDescent="0.3">
      <c r="D334" s="6"/>
    </row>
    <row r="335" spans="4:4" ht="14.25" customHeight="1" x14ac:dyDescent="0.3">
      <c r="D335" s="6"/>
    </row>
    <row r="336" spans="4:4" ht="14.25" customHeight="1" x14ac:dyDescent="0.3">
      <c r="D336" s="6"/>
    </row>
    <row r="337" spans="4:4" ht="14.25" customHeight="1" x14ac:dyDescent="0.3">
      <c r="D337" s="6"/>
    </row>
    <row r="338" spans="4:4" ht="14.25" customHeight="1" x14ac:dyDescent="0.3">
      <c r="D338" s="6"/>
    </row>
    <row r="339" spans="4:4" ht="14.25" customHeight="1" x14ac:dyDescent="0.3">
      <c r="D339" s="6"/>
    </row>
    <row r="340" spans="4:4" ht="14.25" customHeight="1" x14ac:dyDescent="0.3">
      <c r="D340" s="6"/>
    </row>
    <row r="341" spans="4:4" ht="14.25" customHeight="1" x14ac:dyDescent="0.3">
      <c r="D341" s="6"/>
    </row>
    <row r="342" spans="4:4" ht="14.25" customHeight="1" x14ac:dyDescent="0.3">
      <c r="D342" s="6"/>
    </row>
    <row r="343" spans="4:4" ht="14.25" customHeight="1" x14ac:dyDescent="0.3">
      <c r="D343" s="6"/>
    </row>
    <row r="344" spans="4:4" ht="14.25" customHeight="1" x14ac:dyDescent="0.3">
      <c r="D344" s="6"/>
    </row>
    <row r="345" spans="4:4" ht="14.25" customHeight="1" x14ac:dyDescent="0.3">
      <c r="D345" s="6"/>
    </row>
    <row r="346" spans="4:4" ht="14.25" customHeight="1" x14ac:dyDescent="0.3">
      <c r="D346" s="6"/>
    </row>
    <row r="347" spans="4:4" ht="14.25" customHeight="1" x14ac:dyDescent="0.3">
      <c r="D347" s="6"/>
    </row>
    <row r="348" spans="4:4" ht="14.25" customHeight="1" x14ac:dyDescent="0.3">
      <c r="D348" s="6"/>
    </row>
    <row r="349" spans="4:4" ht="14.25" customHeight="1" x14ac:dyDescent="0.3">
      <c r="D349" s="6"/>
    </row>
    <row r="350" spans="4:4" ht="14.25" customHeight="1" x14ac:dyDescent="0.3">
      <c r="D350" s="6"/>
    </row>
    <row r="351" spans="4:4" ht="14.25" customHeight="1" x14ac:dyDescent="0.3">
      <c r="D351" s="6"/>
    </row>
    <row r="352" spans="4:4" ht="14.25" customHeight="1" x14ac:dyDescent="0.3">
      <c r="D352" s="6"/>
    </row>
    <row r="353" spans="4:4" ht="14.25" customHeight="1" x14ac:dyDescent="0.3">
      <c r="D353" s="6"/>
    </row>
    <row r="354" spans="4:4" ht="14.25" customHeight="1" x14ac:dyDescent="0.3">
      <c r="D354" s="6"/>
    </row>
    <row r="355" spans="4:4" ht="14.25" customHeight="1" x14ac:dyDescent="0.3">
      <c r="D355" s="6"/>
    </row>
    <row r="356" spans="4:4" ht="14.25" customHeight="1" x14ac:dyDescent="0.3">
      <c r="D356" s="6"/>
    </row>
    <row r="357" spans="4:4" ht="14.25" customHeight="1" x14ac:dyDescent="0.3">
      <c r="D357" s="6"/>
    </row>
    <row r="358" spans="4:4" ht="14.25" customHeight="1" x14ac:dyDescent="0.3">
      <c r="D358" s="6"/>
    </row>
    <row r="359" spans="4:4" ht="14.25" customHeight="1" x14ac:dyDescent="0.3">
      <c r="D359" s="6"/>
    </row>
    <row r="360" spans="4:4" ht="14.25" customHeight="1" x14ac:dyDescent="0.3">
      <c r="D360" s="6"/>
    </row>
    <row r="361" spans="4:4" ht="14.25" customHeight="1" x14ac:dyDescent="0.3">
      <c r="D361" s="6"/>
    </row>
    <row r="362" spans="4:4" ht="14.25" customHeight="1" x14ac:dyDescent="0.3">
      <c r="D362" s="6"/>
    </row>
    <row r="363" spans="4:4" ht="14.25" customHeight="1" x14ac:dyDescent="0.3">
      <c r="D363" s="6"/>
    </row>
    <row r="364" spans="4:4" ht="14.25" customHeight="1" x14ac:dyDescent="0.3">
      <c r="D364" s="6"/>
    </row>
    <row r="365" spans="4:4" ht="14.25" customHeight="1" x14ac:dyDescent="0.3">
      <c r="D365" s="6"/>
    </row>
    <row r="366" spans="4:4" ht="14.25" customHeight="1" x14ac:dyDescent="0.3">
      <c r="D366" s="6"/>
    </row>
    <row r="367" spans="4:4" ht="14.25" customHeight="1" x14ac:dyDescent="0.3">
      <c r="D367" s="6"/>
    </row>
    <row r="368" spans="4:4" ht="14.25" customHeight="1" x14ac:dyDescent="0.3">
      <c r="D368" s="6"/>
    </row>
    <row r="369" spans="4:4" ht="14.25" customHeight="1" x14ac:dyDescent="0.3">
      <c r="D369" s="6"/>
    </row>
    <row r="370" spans="4:4" ht="14.25" customHeight="1" x14ac:dyDescent="0.3">
      <c r="D370" s="6"/>
    </row>
    <row r="371" spans="4:4" ht="14.25" customHeight="1" x14ac:dyDescent="0.3">
      <c r="D371" s="6"/>
    </row>
    <row r="372" spans="4:4" ht="14.25" customHeight="1" x14ac:dyDescent="0.3">
      <c r="D372" s="6"/>
    </row>
    <row r="373" spans="4:4" ht="14.25" customHeight="1" x14ac:dyDescent="0.3">
      <c r="D373" s="6"/>
    </row>
    <row r="374" spans="4:4" ht="14.25" customHeight="1" x14ac:dyDescent="0.3">
      <c r="D374" s="6"/>
    </row>
    <row r="375" spans="4:4" ht="14.25" customHeight="1" x14ac:dyDescent="0.3">
      <c r="D375" s="6"/>
    </row>
    <row r="376" spans="4:4" ht="14.25" customHeight="1" x14ac:dyDescent="0.3">
      <c r="D376" s="6"/>
    </row>
    <row r="377" spans="4:4" ht="14.25" customHeight="1" x14ac:dyDescent="0.3">
      <c r="D377" s="6"/>
    </row>
    <row r="378" spans="4:4" ht="14.25" customHeight="1" x14ac:dyDescent="0.3">
      <c r="D378" s="6"/>
    </row>
    <row r="379" spans="4:4" ht="14.25" customHeight="1" x14ac:dyDescent="0.3">
      <c r="D379" s="6"/>
    </row>
    <row r="380" spans="4:4" ht="14.25" customHeight="1" x14ac:dyDescent="0.3">
      <c r="D380" s="6"/>
    </row>
    <row r="381" spans="4:4" ht="14.25" customHeight="1" x14ac:dyDescent="0.3">
      <c r="D381" s="6"/>
    </row>
    <row r="382" spans="4:4" ht="14.25" customHeight="1" x14ac:dyDescent="0.3">
      <c r="D382" s="6"/>
    </row>
    <row r="383" spans="4:4" ht="14.25" customHeight="1" x14ac:dyDescent="0.3">
      <c r="D383" s="6"/>
    </row>
    <row r="384" spans="4:4" ht="14.25" customHeight="1" x14ac:dyDescent="0.3">
      <c r="D384" s="6"/>
    </row>
    <row r="385" spans="4:4" ht="14.25" customHeight="1" x14ac:dyDescent="0.3">
      <c r="D385" s="6"/>
    </row>
    <row r="386" spans="4:4" ht="14.25" customHeight="1" x14ac:dyDescent="0.3">
      <c r="D386" s="6"/>
    </row>
    <row r="387" spans="4:4" ht="14.25" customHeight="1" x14ac:dyDescent="0.3">
      <c r="D387" s="6"/>
    </row>
    <row r="388" spans="4:4" ht="14.25" customHeight="1" x14ac:dyDescent="0.3">
      <c r="D388" s="6"/>
    </row>
    <row r="389" spans="4:4" ht="14.25" customHeight="1" x14ac:dyDescent="0.3">
      <c r="D389" s="6"/>
    </row>
    <row r="390" spans="4:4" ht="14.25" customHeight="1" x14ac:dyDescent="0.3">
      <c r="D390" s="6"/>
    </row>
    <row r="391" spans="4:4" ht="14.25" customHeight="1" x14ac:dyDescent="0.3">
      <c r="D391" s="6"/>
    </row>
    <row r="392" spans="4:4" ht="14.25" customHeight="1" x14ac:dyDescent="0.3">
      <c r="D392" s="6"/>
    </row>
    <row r="393" spans="4:4" ht="14.25" customHeight="1" x14ac:dyDescent="0.3">
      <c r="D393" s="6"/>
    </row>
    <row r="394" spans="4:4" ht="14.25" customHeight="1" x14ac:dyDescent="0.3">
      <c r="D394" s="6"/>
    </row>
    <row r="395" spans="4:4" ht="14.25" customHeight="1" x14ac:dyDescent="0.3">
      <c r="D395" s="6"/>
    </row>
    <row r="396" spans="4:4" ht="14.25" customHeight="1" x14ac:dyDescent="0.3">
      <c r="D396" s="6"/>
    </row>
    <row r="397" spans="4:4" ht="14.25" customHeight="1" x14ac:dyDescent="0.3">
      <c r="D397" s="6"/>
    </row>
    <row r="398" spans="4:4" ht="14.25" customHeight="1" x14ac:dyDescent="0.3">
      <c r="D398" s="6"/>
    </row>
    <row r="399" spans="4:4" ht="14.25" customHeight="1" x14ac:dyDescent="0.3">
      <c r="D399" s="6"/>
    </row>
    <row r="400" spans="4:4" ht="14.25" customHeight="1" x14ac:dyDescent="0.3">
      <c r="D400" s="6"/>
    </row>
    <row r="401" spans="4:4" ht="14.25" customHeight="1" x14ac:dyDescent="0.3">
      <c r="D401" s="6"/>
    </row>
    <row r="402" spans="4:4" ht="14.25" customHeight="1" x14ac:dyDescent="0.3">
      <c r="D402" s="6"/>
    </row>
    <row r="403" spans="4:4" ht="14.25" customHeight="1" x14ac:dyDescent="0.3">
      <c r="D403" s="6"/>
    </row>
    <row r="404" spans="4:4" ht="14.25" customHeight="1" x14ac:dyDescent="0.3">
      <c r="D404" s="6"/>
    </row>
    <row r="405" spans="4:4" ht="14.25" customHeight="1" x14ac:dyDescent="0.3">
      <c r="D405" s="6"/>
    </row>
    <row r="406" spans="4:4" ht="14.25" customHeight="1" x14ac:dyDescent="0.3">
      <c r="D406" s="6"/>
    </row>
    <row r="407" spans="4:4" ht="14.25" customHeight="1" x14ac:dyDescent="0.3">
      <c r="D407" s="6"/>
    </row>
    <row r="408" spans="4:4" ht="14.25" customHeight="1" x14ac:dyDescent="0.3">
      <c r="D408" s="6"/>
    </row>
    <row r="409" spans="4:4" ht="14.25" customHeight="1" x14ac:dyDescent="0.3">
      <c r="D409" s="6"/>
    </row>
    <row r="410" spans="4:4" ht="14.25" customHeight="1" x14ac:dyDescent="0.3">
      <c r="D410" s="6"/>
    </row>
    <row r="411" spans="4:4" ht="14.25" customHeight="1" x14ac:dyDescent="0.3">
      <c r="D411" s="6"/>
    </row>
    <row r="412" spans="4:4" ht="14.25" customHeight="1" x14ac:dyDescent="0.3">
      <c r="D412" s="6"/>
    </row>
    <row r="413" spans="4:4" ht="14.25" customHeight="1" x14ac:dyDescent="0.3">
      <c r="D413" s="6"/>
    </row>
    <row r="414" spans="4:4" ht="14.25" customHeight="1" x14ac:dyDescent="0.3">
      <c r="D414" s="6"/>
    </row>
    <row r="415" spans="4:4" ht="14.25" customHeight="1" x14ac:dyDescent="0.3">
      <c r="D415" s="6"/>
    </row>
    <row r="416" spans="4:4" ht="14.25" customHeight="1" x14ac:dyDescent="0.3">
      <c r="D416" s="6"/>
    </row>
    <row r="417" spans="4:4" ht="14.25" customHeight="1" x14ac:dyDescent="0.3">
      <c r="D417" s="6"/>
    </row>
    <row r="418" spans="4:4" ht="14.25" customHeight="1" x14ac:dyDescent="0.3">
      <c r="D418" s="6"/>
    </row>
    <row r="419" spans="4:4" ht="14.25" customHeight="1" x14ac:dyDescent="0.3">
      <c r="D419" s="6"/>
    </row>
    <row r="420" spans="4:4" ht="14.25" customHeight="1" x14ac:dyDescent="0.3">
      <c r="D420" s="6"/>
    </row>
    <row r="421" spans="4:4" ht="14.25" customHeight="1" x14ac:dyDescent="0.3">
      <c r="D421" s="6"/>
    </row>
    <row r="422" spans="4:4" ht="14.25" customHeight="1" x14ac:dyDescent="0.3">
      <c r="D422" s="6"/>
    </row>
    <row r="423" spans="4:4" ht="14.25" customHeight="1" x14ac:dyDescent="0.3">
      <c r="D423" s="6"/>
    </row>
    <row r="424" spans="4:4" ht="14.25" customHeight="1" x14ac:dyDescent="0.3">
      <c r="D424" s="6"/>
    </row>
    <row r="425" spans="4:4" ht="14.25" customHeight="1" x14ac:dyDescent="0.3">
      <c r="D425" s="6"/>
    </row>
    <row r="426" spans="4:4" ht="14.25" customHeight="1" x14ac:dyDescent="0.3">
      <c r="D426" s="6"/>
    </row>
    <row r="427" spans="4:4" ht="14.25" customHeight="1" x14ac:dyDescent="0.3">
      <c r="D427" s="6"/>
    </row>
    <row r="428" spans="4:4" ht="14.25" customHeight="1" x14ac:dyDescent="0.3">
      <c r="D428" s="6"/>
    </row>
    <row r="429" spans="4:4" ht="14.25" customHeight="1" x14ac:dyDescent="0.3">
      <c r="D429" s="6"/>
    </row>
    <row r="430" spans="4:4" ht="14.25" customHeight="1" x14ac:dyDescent="0.3">
      <c r="D430" s="6"/>
    </row>
    <row r="431" spans="4:4" ht="14.25" customHeight="1" x14ac:dyDescent="0.3">
      <c r="D431" s="6"/>
    </row>
    <row r="432" spans="4:4" ht="14.25" customHeight="1" x14ac:dyDescent="0.3">
      <c r="D432" s="6"/>
    </row>
    <row r="433" spans="4:4" ht="14.25" customHeight="1" x14ac:dyDescent="0.3">
      <c r="D433" s="6"/>
    </row>
    <row r="434" spans="4:4" ht="14.25" customHeight="1" x14ac:dyDescent="0.3">
      <c r="D434" s="6"/>
    </row>
    <row r="435" spans="4:4" ht="14.25" customHeight="1" x14ac:dyDescent="0.3">
      <c r="D435" s="6"/>
    </row>
    <row r="436" spans="4:4" ht="14.25" customHeight="1" x14ac:dyDescent="0.3">
      <c r="D436" s="6"/>
    </row>
    <row r="437" spans="4:4" ht="14.25" customHeight="1" x14ac:dyDescent="0.3">
      <c r="D437" s="6"/>
    </row>
    <row r="438" spans="4:4" ht="14.25" customHeight="1" x14ac:dyDescent="0.3">
      <c r="D438" s="6"/>
    </row>
    <row r="439" spans="4:4" ht="14.25" customHeight="1" x14ac:dyDescent="0.3">
      <c r="D439" s="6"/>
    </row>
    <row r="440" spans="4:4" ht="14.25" customHeight="1" x14ac:dyDescent="0.3">
      <c r="D440" s="6"/>
    </row>
    <row r="441" spans="4:4" ht="14.25" customHeight="1" x14ac:dyDescent="0.3">
      <c r="D441" s="6"/>
    </row>
    <row r="442" spans="4:4" ht="14.25" customHeight="1" x14ac:dyDescent="0.3">
      <c r="D442" s="6"/>
    </row>
    <row r="443" spans="4:4" ht="14.25" customHeight="1" x14ac:dyDescent="0.3">
      <c r="D443" s="6"/>
    </row>
    <row r="444" spans="4:4" ht="14.25" customHeight="1" x14ac:dyDescent="0.3">
      <c r="D444" s="6"/>
    </row>
    <row r="445" spans="4:4" ht="14.25" customHeight="1" x14ac:dyDescent="0.3">
      <c r="D445" s="6"/>
    </row>
    <row r="446" spans="4:4" ht="14.25" customHeight="1" x14ac:dyDescent="0.3">
      <c r="D446" s="6"/>
    </row>
    <row r="447" spans="4:4" ht="14.25" customHeight="1" x14ac:dyDescent="0.3">
      <c r="D447" s="6"/>
    </row>
    <row r="448" spans="4:4" ht="14.25" customHeight="1" x14ac:dyDescent="0.3">
      <c r="D448" s="6"/>
    </row>
    <row r="449" spans="4:4" ht="14.25" customHeight="1" x14ac:dyDescent="0.3">
      <c r="D449" s="6"/>
    </row>
    <row r="450" spans="4:4" ht="14.25" customHeight="1" x14ac:dyDescent="0.3">
      <c r="D450" s="6"/>
    </row>
    <row r="451" spans="4:4" ht="14.25" customHeight="1" x14ac:dyDescent="0.3">
      <c r="D451" s="6"/>
    </row>
    <row r="452" spans="4:4" ht="14.25" customHeight="1" x14ac:dyDescent="0.3">
      <c r="D452" s="6"/>
    </row>
    <row r="453" spans="4:4" ht="14.25" customHeight="1" x14ac:dyDescent="0.3">
      <c r="D453" s="6"/>
    </row>
    <row r="454" spans="4:4" ht="14.25" customHeight="1" x14ac:dyDescent="0.3">
      <c r="D454" s="6"/>
    </row>
    <row r="455" spans="4:4" ht="14.25" customHeight="1" x14ac:dyDescent="0.3">
      <c r="D455" s="6"/>
    </row>
    <row r="456" spans="4:4" ht="14.25" customHeight="1" x14ac:dyDescent="0.3">
      <c r="D456" s="6"/>
    </row>
    <row r="457" spans="4:4" ht="14.25" customHeight="1" x14ac:dyDescent="0.3">
      <c r="D457" s="6"/>
    </row>
    <row r="458" spans="4:4" ht="14.25" customHeight="1" x14ac:dyDescent="0.3">
      <c r="D458" s="6"/>
    </row>
    <row r="459" spans="4:4" ht="14.25" customHeight="1" x14ac:dyDescent="0.3">
      <c r="D459" s="6"/>
    </row>
    <row r="460" spans="4:4" ht="14.25" customHeight="1" x14ac:dyDescent="0.3">
      <c r="D460" s="6"/>
    </row>
    <row r="461" spans="4:4" ht="14.25" customHeight="1" x14ac:dyDescent="0.3">
      <c r="D461" s="6"/>
    </row>
    <row r="462" spans="4:4" ht="14.25" customHeight="1" x14ac:dyDescent="0.3">
      <c r="D462" s="6"/>
    </row>
    <row r="463" spans="4:4" ht="14.25" customHeight="1" x14ac:dyDescent="0.3">
      <c r="D463" s="6"/>
    </row>
    <row r="464" spans="4:4" ht="14.25" customHeight="1" x14ac:dyDescent="0.3">
      <c r="D464" s="6"/>
    </row>
    <row r="465" spans="4:4" ht="14.25" customHeight="1" x14ac:dyDescent="0.3">
      <c r="D465" s="6"/>
    </row>
    <row r="466" spans="4:4" ht="14.25" customHeight="1" x14ac:dyDescent="0.3">
      <c r="D466" s="6"/>
    </row>
    <row r="467" spans="4:4" ht="14.25" customHeight="1" x14ac:dyDescent="0.3">
      <c r="D467" s="6"/>
    </row>
    <row r="468" spans="4:4" ht="14.25" customHeight="1" x14ac:dyDescent="0.3">
      <c r="D468" s="6"/>
    </row>
    <row r="469" spans="4:4" ht="14.25" customHeight="1" x14ac:dyDescent="0.3">
      <c r="D469" s="6"/>
    </row>
    <row r="470" spans="4:4" ht="14.25" customHeight="1" x14ac:dyDescent="0.3">
      <c r="D470" s="6"/>
    </row>
    <row r="471" spans="4:4" ht="14.25" customHeight="1" x14ac:dyDescent="0.3">
      <c r="D471" s="6"/>
    </row>
    <row r="472" spans="4:4" ht="14.25" customHeight="1" x14ac:dyDescent="0.3">
      <c r="D472" s="6"/>
    </row>
    <row r="473" spans="4:4" ht="14.25" customHeight="1" x14ac:dyDescent="0.3">
      <c r="D473" s="6"/>
    </row>
    <row r="474" spans="4:4" ht="14.25" customHeight="1" x14ac:dyDescent="0.3">
      <c r="D474" s="6"/>
    </row>
    <row r="475" spans="4:4" ht="14.25" customHeight="1" x14ac:dyDescent="0.3">
      <c r="D475" s="6"/>
    </row>
    <row r="476" spans="4:4" ht="14.25" customHeight="1" x14ac:dyDescent="0.3">
      <c r="D476" s="6"/>
    </row>
    <row r="477" spans="4:4" ht="14.25" customHeight="1" x14ac:dyDescent="0.3">
      <c r="D477" s="6"/>
    </row>
    <row r="478" spans="4:4" ht="14.25" customHeight="1" x14ac:dyDescent="0.3">
      <c r="D478" s="6"/>
    </row>
    <row r="479" spans="4:4" ht="14.25" customHeight="1" x14ac:dyDescent="0.3">
      <c r="D479" s="6"/>
    </row>
    <row r="480" spans="4:4" ht="14.25" customHeight="1" x14ac:dyDescent="0.3">
      <c r="D480" s="6"/>
    </row>
    <row r="481" spans="4:4" ht="14.25" customHeight="1" x14ac:dyDescent="0.3">
      <c r="D481" s="6"/>
    </row>
    <row r="482" spans="4:4" ht="14.25" customHeight="1" x14ac:dyDescent="0.3">
      <c r="D482" s="6"/>
    </row>
    <row r="483" spans="4:4" ht="14.25" customHeight="1" x14ac:dyDescent="0.3">
      <c r="D483" s="6"/>
    </row>
    <row r="484" spans="4:4" ht="14.25" customHeight="1" x14ac:dyDescent="0.3">
      <c r="D484" s="6"/>
    </row>
    <row r="485" spans="4:4" ht="14.25" customHeight="1" x14ac:dyDescent="0.3">
      <c r="D485" s="6"/>
    </row>
    <row r="486" spans="4:4" ht="14.25" customHeight="1" x14ac:dyDescent="0.3">
      <c r="D486" s="6"/>
    </row>
    <row r="487" spans="4:4" ht="14.25" customHeight="1" x14ac:dyDescent="0.3">
      <c r="D487" s="6"/>
    </row>
    <row r="488" spans="4:4" ht="14.25" customHeight="1" x14ac:dyDescent="0.3">
      <c r="D488" s="6"/>
    </row>
    <row r="489" spans="4:4" ht="14.25" customHeight="1" x14ac:dyDescent="0.3">
      <c r="D489" s="6"/>
    </row>
    <row r="490" spans="4:4" ht="14.25" customHeight="1" x14ac:dyDescent="0.3">
      <c r="D490" s="6"/>
    </row>
    <row r="491" spans="4:4" ht="14.25" customHeight="1" x14ac:dyDescent="0.3">
      <c r="D491" s="6"/>
    </row>
    <row r="492" spans="4:4" ht="14.25" customHeight="1" x14ac:dyDescent="0.3">
      <c r="D492" s="6"/>
    </row>
    <row r="493" spans="4:4" ht="14.25" customHeight="1" x14ac:dyDescent="0.3">
      <c r="D493" s="6"/>
    </row>
    <row r="494" spans="4:4" ht="14.25" customHeight="1" x14ac:dyDescent="0.3">
      <c r="D494" s="6"/>
    </row>
    <row r="495" spans="4:4" ht="14.25" customHeight="1" x14ac:dyDescent="0.3">
      <c r="D495" s="6"/>
    </row>
    <row r="496" spans="4:4" ht="14.25" customHeight="1" x14ac:dyDescent="0.3">
      <c r="D496" s="6"/>
    </row>
    <row r="497" spans="4:4" ht="14.25" customHeight="1" x14ac:dyDescent="0.3">
      <c r="D497" s="6"/>
    </row>
    <row r="498" spans="4:4" ht="14.25" customHeight="1" x14ac:dyDescent="0.3">
      <c r="D498" s="6"/>
    </row>
    <row r="499" spans="4:4" ht="14.25" customHeight="1" x14ac:dyDescent="0.3">
      <c r="D499" s="6"/>
    </row>
    <row r="500" spans="4:4" ht="14.25" customHeight="1" x14ac:dyDescent="0.3">
      <c r="D500" s="6"/>
    </row>
    <row r="501" spans="4:4" ht="14.25" customHeight="1" x14ac:dyDescent="0.3">
      <c r="D501" s="6"/>
    </row>
    <row r="502" spans="4:4" ht="14.25" customHeight="1" x14ac:dyDescent="0.3">
      <c r="D502" s="6"/>
    </row>
    <row r="503" spans="4:4" ht="14.25" customHeight="1" x14ac:dyDescent="0.3">
      <c r="D503" s="6"/>
    </row>
    <row r="504" spans="4:4" ht="14.25" customHeight="1" x14ac:dyDescent="0.3">
      <c r="D504" s="6"/>
    </row>
    <row r="505" spans="4:4" ht="14.25" customHeight="1" x14ac:dyDescent="0.3">
      <c r="D505" s="6"/>
    </row>
    <row r="506" spans="4:4" ht="14.25" customHeight="1" x14ac:dyDescent="0.3">
      <c r="D506" s="6"/>
    </row>
    <row r="507" spans="4:4" ht="14.25" customHeight="1" x14ac:dyDescent="0.3">
      <c r="D507" s="6"/>
    </row>
    <row r="508" spans="4:4" ht="14.25" customHeight="1" x14ac:dyDescent="0.3">
      <c r="D508" s="6"/>
    </row>
    <row r="509" spans="4:4" ht="14.25" customHeight="1" x14ac:dyDescent="0.3">
      <c r="D509" s="6"/>
    </row>
    <row r="510" spans="4:4" ht="14.25" customHeight="1" x14ac:dyDescent="0.3">
      <c r="D510" s="6"/>
    </row>
    <row r="511" spans="4:4" ht="14.25" customHeight="1" x14ac:dyDescent="0.3">
      <c r="D511" s="6"/>
    </row>
    <row r="512" spans="4:4" ht="14.25" customHeight="1" x14ac:dyDescent="0.3">
      <c r="D512" s="6"/>
    </row>
    <row r="513" spans="4:4" ht="14.25" customHeight="1" x14ac:dyDescent="0.3">
      <c r="D513" s="6"/>
    </row>
    <row r="514" spans="4:4" ht="14.25" customHeight="1" x14ac:dyDescent="0.3">
      <c r="D514" s="6"/>
    </row>
    <row r="515" spans="4:4" ht="14.25" customHeight="1" x14ac:dyDescent="0.3">
      <c r="D515" s="6"/>
    </row>
    <row r="516" spans="4:4" ht="14.25" customHeight="1" x14ac:dyDescent="0.3">
      <c r="D516" s="6"/>
    </row>
    <row r="517" spans="4:4" ht="14.25" customHeight="1" x14ac:dyDescent="0.3">
      <c r="D517" s="6"/>
    </row>
    <row r="518" spans="4:4" ht="14.25" customHeight="1" x14ac:dyDescent="0.3">
      <c r="D518" s="6"/>
    </row>
    <row r="519" spans="4:4" ht="14.25" customHeight="1" x14ac:dyDescent="0.3">
      <c r="D519" s="6"/>
    </row>
    <row r="520" spans="4:4" ht="14.25" customHeight="1" x14ac:dyDescent="0.3">
      <c r="D520" s="6"/>
    </row>
    <row r="521" spans="4:4" ht="14.25" customHeight="1" x14ac:dyDescent="0.3">
      <c r="D521" s="6"/>
    </row>
    <row r="522" spans="4:4" ht="14.25" customHeight="1" x14ac:dyDescent="0.3">
      <c r="D522" s="6"/>
    </row>
    <row r="523" spans="4:4" ht="14.25" customHeight="1" x14ac:dyDescent="0.3">
      <c r="D523" s="6"/>
    </row>
    <row r="524" spans="4:4" ht="14.25" customHeight="1" x14ac:dyDescent="0.3">
      <c r="D524" s="6"/>
    </row>
    <row r="525" spans="4:4" ht="14.25" customHeight="1" x14ac:dyDescent="0.3">
      <c r="D525" s="6"/>
    </row>
    <row r="526" spans="4:4" ht="14.25" customHeight="1" x14ac:dyDescent="0.3">
      <c r="D526" s="6"/>
    </row>
    <row r="527" spans="4:4" ht="14.25" customHeight="1" x14ac:dyDescent="0.3">
      <c r="D527" s="6"/>
    </row>
    <row r="528" spans="4:4" ht="14.25" customHeight="1" x14ac:dyDescent="0.3">
      <c r="D528" s="6"/>
    </row>
    <row r="529" spans="4:4" ht="14.25" customHeight="1" x14ac:dyDescent="0.3">
      <c r="D529" s="6"/>
    </row>
    <row r="530" spans="4:4" ht="14.25" customHeight="1" x14ac:dyDescent="0.3">
      <c r="D530" s="6"/>
    </row>
    <row r="531" spans="4:4" ht="14.25" customHeight="1" x14ac:dyDescent="0.3">
      <c r="D531" s="6"/>
    </row>
    <row r="532" spans="4:4" ht="14.25" customHeight="1" x14ac:dyDescent="0.3">
      <c r="D532" s="6"/>
    </row>
    <row r="533" spans="4:4" ht="14.25" customHeight="1" x14ac:dyDescent="0.3">
      <c r="D533" s="6"/>
    </row>
    <row r="534" spans="4:4" ht="14.25" customHeight="1" x14ac:dyDescent="0.3">
      <c r="D534" s="6"/>
    </row>
    <row r="535" spans="4:4" ht="14.25" customHeight="1" x14ac:dyDescent="0.3">
      <c r="D535" s="6"/>
    </row>
    <row r="536" spans="4:4" ht="14.25" customHeight="1" x14ac:dyDescent="0.3">
      <c r="D536" s="6"/>
    </row>
    <row r="537" spans="4:4" ht="14.25" customHeight="1" x14ac:dyDescent="0.3">
      <c r="D537" s="6"/>
    </row>
    <row r="538" spans="4:4" ht="14.25" customHeight="1" x14ac:dyDescent="0.3">
      <c r="D538" s="6"/>
    </row>
    <row r="539" spans="4:4" ht="14.25" customHeight="1" x14ac:dyDescent="0.3">
      <c r="D539" s="6"/>
    </row>
    <row r="540" spans="4:4" ht="14.25" customHeight="1" x14ac:dyDescent="0.3">
      <c r="D540" s="6"/>
    </row>
    <row r="541" spans="4:4" ht="14.25" customHeight="1" x14ac:dyDescent="0.3">
      <c r="D541" s="6"/>
    </row>
    <row r="542" spans="4:4" ht="14.25" customHeight="1" x14ac:dyDescent="0.3">
      <c r="D542" s="6"/>
    </row>
    <row r="543" spans="4:4" ht="14.25" customHeight="1" x14ac:dyDescent="0.3">
      <c r="D543" s="6"/>
    </row>
    <row r="544" spans="4:4" ht="14.25" customHeight="1" x14ac:dyDescent="0.3">
      <c r="D544" s="6"/>
    </row>
    <row r="545" spans="4:4" ht="14.25" customHeight="1" x14ac:dyDescent="0.3">
      <c r="D545" s="6"/>
    </row>
    <row r="546" spans="4:4" ht="14.25" customHeight="1" x14ac:dyDescent="0.3">
      <c r="D546" s="6"/>
    </row>
    <row r="547" spans="4:4" ht="14.25" customHeight="1" x14ac:dyDescent="0.3">
      <c r="D547" s="6"/>
    </row>
    <row r="548" spans="4:4" ht="14.25" customHeight="1" x14ac:dyDescent="0.3">
      <c r="D548" s="6"/>
    </row>
    <row r="549" spans="4:4" ht="14.25" customHeight="1" x14ac:dyDescent="0.3">
      <c r="D549" s="6"/>
    </row>
    <row r="550" spans="4:4" ht="14.25" customHeight="1" x14ac:dyDescent="0.3">
      <c r="D550" s="6"/>
    </row>
    <row r="551" spans="4:4" ht="14.25" customHeight="1" x14ac:dyDescent="0.3">
      <c r="D551" s="6"/>
    </row>
    <row r="552" spans="4:4" ht="14.25" customHeight="1" x14ac:dyDescent="0.3">
      <c r="D552" s="6"/>
    </row>
    <row r="553" spans="4:4" ht="14.25" customHeight="1" x14ac:dyDescent="0.3">
      <c r="D553" s="6"/>
    </row>
    <row r="554" spans="4:4" ht="14.25" customHeight="1" x14ac:dyDescent="0.3">
      <c r="D554" s="6"/>
    </row>
    <row r="555" spans="4:4" ht="14.25" customHeight="1" x14ac:dyDescent="0.3">
      <c r="D555" s="6"/>
    </row>
    <row r="556" spans="4:4" ht="14.25" customHeight="1" x14ac:dyDescent="0.3">
      <c r="D556" s="6"/>
    </row>
    <row r="557" spans="4:4" ht="14.25" customHeight="1" x14ac:dyDescent="0.3">
      <c r="D557" s="6"/>
    </row>
    <row r="558" spans="4:4" ht="14.25" customHeight="1" x14ac:dyDescent="0.3">
      <c r="D558" s="6"/>
    </row>
    <row r="559" spans="4:4" ht="14.25" customHeight="1" x14ac:dyDescent="0.3">
      <c r="D559" s="6"/>
    </row>
    <row r="560" spans="4:4" ht="14.25" customHeight="1" x14ac:dyDescent="0.3">
      <c r="D560" s="6"/>
    </row>
    <row r="561" spans="4:4" ht="14.25" customHeight="1" x14ac:dyDescent="0.3">
      <c r="D561" s="6"/>
    </row>
    <row r="562" spans="4:4" ht="14.25" customHeight="1" x14ac:dyDescent="0.3">
      <c r="D562" s="6"/>
    </row>
    <row r="563" spans="4:4" ht="14.25" customHeight="1" x14ac:dyDescent="0.3">
      <c r="D563" s="6"/>
    </row>
    <row r="564" spans="4:4" ht="14.25" customHeight="1" x14ac:dyDescent="0.3">
      <c r="D564" s="6"/>
    </row>
    <row r="565" spans="4:4" ht="14.25" customHeight="1" x14ac:dyDescent="0.3">
      <c r="D565" s="6"/>
    </row>
    <row r="566" spans="4:4" ht="14.25" customHeight="1" x14ac:dyDescent="0.3">
      <c r="D566" s="6"/>
    </row>
    <row r="567" spans="4:4" ht="14.25" customHeight="1" x14ac:dyDescent="0.3">
      <c r="D567" s="6"/>
    </row>
    <row r="568" spans="4:4" ht="14.25" customHeight="1" x14ac:dyDescent="0.3">
      <c r="D568" s="6"/>
    </row>
    <row r="569" spans="4:4" ht="14.25" customHeight="1" x14ac:dyDescent="0.3">
      <c r="D569" s="6"/>
    </row>
    <row r="570" spans="4:4" ht="14.25" customHeight="1" x14ac:dyDescent="0.3">
      <c r="D570" s="6"/>
    </row>
    <row r="571" spans="4:4" ht="14.25" customHeight="1" x14ac:dyDescent="0.3">
      <c r="D571" s="6"/>
    </row>
    <row r="572" spans="4:4" ht="14.25" customHeight="1" x14ac:dyDescent="0.3">
      <c r="D572" s="6"/>
    </row>
    <row r="573" spans="4:4" ht="14.25" customHeight="1" x14ac:dyDescent="0.3">
      <c r="D573" s="6"/>
    </row>
    <row r="574" spans="4:4" ht="14.25" customHeight="1" x14ac:dyDescent="0.3">
      <c r="D574" s="6"/>
    </row>
    <row r="575" spans="4:4" ht="14.25" customHeight="1" x14ac:dyDescent="0.3">
      <c r="D575" s="6"/>
    </row>
    <row r="576" spans="4:4" ht="14.25" customHeight="1" x14ac:dyDescent="0.3">
      <c r="D576" s="6"/>
    </row>
    <row r="577" spans="4:4" ht="14.25" customHeight="1" x14ac:dyDescent="0.3">
      <c r="D577" s="6"/>
    </row>
    <row r="578" spans="4:4" ht="14.25" customHeight="1" x14ac:dyDescent="0.3">
      <c r="D578" s="6"/>
    </row>
    <row r="579" spans="4:4" ht="14.25" customHeight="1" x14ac:dyDescent="0.3">
      <c r="D579" s="6"/>
    </row>
    <row r="580" spans="4:4" ht="14.25" customHeight="1" x14ac:dyDescent="0.3">
      <c r="D580" s="6"/>
    </row>
    <row r="581" spans="4:4" ht="14.25" customHeight="1" x14ac:dyDescent="0.3">
      <c r="D581" s="6"/>
    </row>
    <row r="582" spans="4:4" ht="14.25" customHeight="1" x14ac:dyDescent="0.3">
      <c r="D582" s="6"/>
    </row>
    <row r="583" spans="4:4" ht="14.25" customHeight="1" x14ac:dyDescent="0.3">
      <c r="D583" s="6"/>
    </row>
    <row r="584" spans="4:4" ht="14.25" customHeight="1" x14ac:dyDescent="0.3">
      <c r="D584" s="6"/>
    </row>
    <row r="585" spans="4:4" ht="14.25" customHeight="1" x14ac:dyDescent="0.3">
      <c r="D585" s="6"/>
    </row>
    <row r="586" spans="4:4" ht="14.25" customHeight="1" x14ac:dyDescent="0.3">
      <c r="D586" s="6"/>
    </row>
    <row r="587" spans="4:4" ht="14.25" customHeight="1" x14ac:dyDescent="0.3">
      <c r="D587" s="6"/>
    </row>
    <row r="588" spans="4:4" ht="14.25" customHeight="1" x14ac:dyDescent="0.3">
      <c r="D588" s="6"/>
    </row>
    <row r="589" spans="4:4" ht="14.25" customHeight="1" x14ac:dyDescent="0.3">
      <c r="D589" s="6"/>
    </row>
    <row r="590" spans="4:4" ht="14.25" customHeight="1" x14ac:dyDescent="0.3">
      <c r="D590" s="6"/>
    </row>
    <row r="591" spans="4:4" ht="14.25" customHeight="1" x14ac:dyDescent="0.3">
      <c r="D591" s="6"/>
    </row>
    <row r="592" spans="4:4" ht="14.25" customHeight="1" x14ac:dyDescent="0.3">
      <c r="D592" s="6"/>
    </row>
    <row r="593" spans="4:4" ht="14.25" customHeight="1" x14ac:dyDescent="0.3">
      <c r="D593" s="6"/>
    </row>
    <row r="594" spans="4:4" ht="14.25" customHeight="1" x14ac:dyDescent="0.3">
      <c r="D594" s="6"/>
    </row>
    <row r="595" spans="4:4" ht="14.25" customHeight="1" x14ac:dyDescent="0.3">
      <c r="D595" s="6"/>
    </row>
    <row r="596" spans="4:4" ht="14.25" customHeight="1" x14ac:dyDescent="0.3">
      <c r="D596" s="6"/>
    </row>
    <row r="597" spans="4:4" ht="14.25" customHeight="1" x14ac:dyDescent="0.3">
      <c r="D597" s="6"/>
    </row>
    <row r="598" spans="4:4" ht="14.25" customHeight="1" x14ac:dyDescent="0.3">
      <c r="D598" s="6"/>
    </row>
    <row r="599" spans="4:4" ht="14.25" customHeight="1" x14ac:dyDescent="0.3">
      <c r="D599" s="6"/>
    </row>
    <row r="600" spans="4:4" ht="14.25" customHeight="1" x14ac:dyDescent="0.3">
      <c r="D600" s="6"/>
    </row>
    <row r="601" spans="4:4" ht="14.25" customHeight="1" x14ac:dyDescent="0.3">
      <c r="D601" s="6"/>
    </row>
    <row r="602" spans="4:4" ht="14.25" customHeight="1" x14ac:dyDescent="0.3">
      <c r="D602" s="6"/>
    </row>
    <row r="603" spans="4:4" ht="14.25" customHeight="1" x14ac:dyDescent="0.3">
      <c r="D603" s="6"/>
    </row>
    <row r="604" spans="4:4" ht="14.25" customHeight="1" x14ac:dyDescent="0.3">
      <c r="D604" s="6"/>
    </row>
    <row r="605" spans="4:4" ht="14.25" customHeight="1" x14ac:dyDescent="0.3">
      <c r="D605" s="6"/>
    </row>
    <row r="606" spans="4:4" ht="14.25" customHeight="1" x14ac:dyDescent="0.3">
      <c r="D606" s="6"/>
    </row>
    <row r="607" spans="4:4" ht="14.25" customHeight="1" x14ac:dyDescent="0.3">
      <c r="D607" s="6"/>
    </row>
    <row r="608" spans="4:4" ht="14.25" customHeight="1" x14ac:dyDescent="0.3">
      <c r="D608" s="6"/>
    </row>
    <row r="609" spans="4:4" ht="14.25" customHeight="1" x14ac:dyDescent="0.3">
      <c r="D609" s="6"/>
    </row>
    <row r="610" spans="4:4" ht="14.25" customHeight="1" x14ac:dyDescent="0.3">
      <c r="D610" s="6"/>
    </row>
    <row r="611" spans="4:4" ht="14.25" customHeight="1" x14ac:dyDescent="0.3">
      <c r="D611" s="6"/>
    </row>
    <row r="612" spans="4:4" ht="14.25" customHeight="1" x14ac:dyDescent="0.3">
      <c r="D612" s="6"/>
    </row>
    <row r="613" spans="4:4" ht="14.25" customHeight="1" x14ac:dyDescent="0.3">
      <c r="D613" s="6"/>
    </row>
    <row r="614" spans="4:4" ht="14.25" customHeight="1" x14ac:dyDescent="0.3">
      <c r="D614" s="6"/>
    </row>
    <row r="615" spans="4:4" ht="14.25" customHeight="1" x14ac:dyDescent="0.3">
      <c r="D615" s="6"/>
    </row>
    <row r="616" spans="4:4" ht="14.25" customHeight="1" x14ac:dyDescent="0.3">
      <c r="D616" s="6"/>
    </row>
    <row r="617" spans="4:4" ht="14.25" customHeight="1" x14ac:dyDescent="0.3">
      <c r="D617" s="6"/>
    </row>
    <row r="618" spans="4:4" ht="14.25" customHeight="1" x14ac:dyDescent="0.3">
      <c r="D618" s="6"/>
    </row>
    <row r="619" spans="4:4" ht="14.25" customHeight="1" x14ac:dyDescent="0.3">
      <c r="D619" s="6"/>
    </row>
    <row r="620" spans="4:4" ht="14.25" customHeight="1" x14ac:dyDescent="0.3">
      <c r="D620" s="6"/>
    </row>
    <row r="621" spans="4:4" ht="14.25" customHeight="1" x14ac:dyDescent="0.3">
      <c r="D621" s="6"/>
    </row>
    <row r="622" spans="4:4" ht="14.25" customHeight="1" x14ac:dyDescent="0.3">
      <c r="D622" s="6"/>
    </row>
    <row r="623" spans="4:4" ht="14.25" customHeight="1" x14ac:dyDescent="0.3">
      <c r="D623" s="6"/>
    </row>
    <row r="624" spans="4:4" ht="14.25" customHeight="1" x14ac:dyDescent="0.3">
      <c r="D624" s="6"/>
    </row>
    <row r="625" spans="4:4" ht="14.25" customHeight="1" x14ac:dyDescent="0.3">
      <c r="D625" s="6"/>
    </row>
    <row r="626" spans="4:4" ht="14.25" customHeight="1" x14ac:dyDescent="0.3">
      <c r="D626" s="6"/>
    </row>
    <row r="627" spans="4:4" ht="14.25" customHeight="1" x14ac:dyDescent="0.3">
      <c r="D627" s="6"/>
    </row>
    <row r="628" spans="4:4" ht="14.25" customHeight="1" x14ac:dyDescent="0.3">
      <c r="D628" s="6"/>
    </row>
    <row r="629" spans="4:4" ht="14.25" customHeight="1" x14ac:dyDescent="0.3">
      <c r="D629" s="6"/>
    </row>
    <row r="630" spans="4:4" ht="14.25" customHeight="1" x14ac:dyDescent="0.3">
      <c r="D630" s="6"/>
    </row>
    <row r="631" spans="4:4" ht="14.25" customHeight="1" x14ac:dyDescent="0.3">
      <c r="D631" s="6"/>
    </row>
    <row r="632" spans="4:4" ht="14.25" customHeight="1" x14ac:dyDescent="0.3">
      <c r="D632" s="6"/>
    </row>
    <row r="633" spans="4:4" ht="14.25" customHeight="1" x14ac:dyDescent="0.3">
      <c r="D633" s="6"/>
    </row>
    <row r="634" spans="4:4" ht="14.25" customHeight="1" x14ac:dyDescent="0.3">
      <c r="D634" s="6"/>
    </row>
    <row r="635" spans="4:4" ht="14.25" customHeight="1" x14ac:dyDescent="0.3">
      <c r="D635" s="6"/>
    </row>
    <row r="636" spans="4:4" ht="14.25" customHeight="1" x14ac:dyDescent="0.3">
      <c r="D636" s="6"/>
    </row>
    <row r="637" spans="4:4" ht="14.25" customHeight="1" x14ac:dyDescent="0.3">
      <c r="D637" s="6"/>
    </row>
    <row r="638" spans="4:4" ht="14.25" customHeight="1" x14ac:dyDescent="0.3">
      <c r="D638" s="6"/>
    </row>
    <row r="639" spans="4:4" ht="14.25" customHeight="1" x14ac:dyDescent="0.3">
      <c r="D639" s="6"/>
    </row>
    <row r="640" spans="4:4" ht="14.25" customHeight="1" x14ac:dyDescent="0.3">
      <c r="D640" s="6"/>
    </row>
    <row r="641" spans="4:4" ht="14.25" customHeight="1" x14ac:dyDescent="0.3">
      <c r="D641" s="6"/>
    </row>
    <row r="642" spans="4:4" ht="14.25" customHeight="1" x14ac:dyDescent="0.3">
      <c r="D642" s="6"/>
    </row>
    <row r="643" spans="4:4" ht="14.25" customHeight="1" x14ac:dyDescent="0.3">
      <c r="D643" s="6"/>
    </row>
    <row r="644" spans="4:4" ht="14.25" customHeight="1" x14ac:dyDescent="0.3">
      <c r="D644" s="6"/>
    </row>
    <row r="645" spans="4:4" ht="14.25" customHeight="1" x14ac:dyDescent="0.3">
      <c r="D645" s="6"/>
    </row>
    <row r="646" spans="4:4" ht="14.25" customHeight="1" x14ac:dyDescent="0.3">
      <c r="D646" s="6"/>
    </row>
    <row r="647" spans="4:4" ht="14.25" customHeight="1" x14ac:dyDescent="0.3">
      <c r="D647" s="6"/>
    </row>
    <row r="648" spans="4:4" ht="14.25" customHeight="1" x14ac:dyDescent="0.3">
      <c r="D648" s="6"/>
    </row>
    <row r="649" spans="4:4" ht="14.25" customHeight="1" x14ac:dyDescent="0.3">
      <c r="D649" s="6"/>
    </row>
    <row r="650" spans="4:4" ht="14.25" customHeight="1" x14ac:dyDescent="0.3">
      <c r="D650" s="6"/>
    </row>
    <row r="651" spans="4:4" ht="14.25" customHeight="1" x14ac:dyDescent="0.3">
      <c r="D651" s="6"/>
    </row>
    <row r="652" spans="4:4" ht="14.25" customHeight="1" x14ac:dyDescent="0.3">
      <c r="D652" s="6"/>
    </row>
    <row r="653" spans="4:4" ht="14.25" customHeight="1" x14ac:dyDescent="0.3">
      <c r="D653" s="6"/>
    </row>
    <row r="654" spans="4:4" ht="14.25" customHeight="1" x14ac:dyDescent="0.3">
      <c r="D654" s="6"/>
    </row>
    <row r="655" spans="4:4" ht="14.25" customHeight="1" x14ac:dyDescent="0.3">
      <c r="D655" s="6"/>
    </row>
    <row r="656" spans="4:4" ht="14.25" customHeight="1" x14ac:dyDescent="0.3">
      <c r="D656" s="6"/>
    </row>
    <row r="657" spans="4:4" ht="14.25" customHeight="1" x14ac:dyDescent="0.3">
      <c r="D657" s="6"/>
    </row>
    <row r="658" spans="4:4" ht="14.25" customHeight="1" x14ac:dyDescent="0.3">
      <c r="D658" s="6"/>
    </row>
    <row r="659" spans="4:4" ht="14.25" customHeight="1" x14ac:dyDescent="0.3">
      <c r="D659" s="6"/>
    </row>
    <row r="660" spans="4:4" ht="14.25" customHeight="1" x14ac:dyDescent="0.3">
      <c r="D660" s="6"/>
    </row>
    <row r="661" spans="4:4" ht="14.25" customHeight="1" x14ac:dyDescent="0.3">
      <c r="D661" s="6"/>
    </row>
    <row r="662" spans="4:4" ht="14.25" customHeight="1" x14ac:dyDescent="0.3">
      <c r="D662" s="6"/>
    </row>
    <row r="663" spans="4:4" ht="14.25" customHeight="1" x14ac:dyDescent="0.3">
      <c r="D663" s="6"/>
    </row>
    <row r="664" spans="4:4" ht="14.25" customHeight="1" x14ac:dyDescent="0.3">
      <c r="D664" s="6"/>
    </row>
    <row r="665" spans="4:4" ht="14.25" customHeight="1" x14ac:dyDescent="0.3">
      <c r="D665" s="6"/>
    </row>
    <row r="666" spans="4:4" ht="14.25" customHeight="1" x14ac:dyDescent="0.3">
      <c r="D666" s="6"/>
    </row>
    <row r="667" spans="4:4" ht="14.25" customHeight="1" x14ac:dyDescent="0.3">
      <c r="D667" s="6"/>
    </row>
    <row r="668" spans="4:4" ht="14.25" customHeight="1" x14ac:dyDescent="0.3">
      <c r="D668" s="6"/>
    </row>
    <row r="669" spans="4:4" ht="14.25" customHeight="1" x14ac:dyDescent="0.3">
      <c r="D669" s="6"/>
    </row>
    <row r="670" spans="4:4" ht="14.25" customHeight="1" x14ac:dyDescent="0.3">
      <c r="D670" s="6"/>
    </row>
    <row r="671" spans="4:4" ht="14.25" customHeight="1" x14ac:dyDescent="0.3">
      <c r="D671" s="6"/>
    </row>
    <row r="672" spans="4:4" ht="14.25" customHeight="1" x14ac:dyDescent="0.3">
      <c r="D672" s="6"/>
    </row>
    <row r="673" spans="4:4" ht="14.25" customHeight="1" x14ac:dyDescent="0.3">
      <c r="D673" s="6"/>
    </row>
    <row r="674" spans="4:4" ht="14.25" customHeight="1" x14ac:dyDescent="0.3">
      <c r="D674" s="6"/>
    </row>
    <row r="675" spans="4:4" ht="14.25" customHeight="1" x14ac:dyDescent="0.3">
      <c r="D675" s="6"/>
    </row>
    <row r="676" spans="4:4" ht="14.25" customHeight="1" x14ac:dyDescent="0.3">
      <c r="D676" s="6"/>
    </row>
    <row r="677" spans="4:4" ht="14.25" customHeight="1" x14ac:dyDescent="0.3">
      <c r="D677" s="6"/>
    </row>
    <row r="678" spans="4:4" ht="14.25" customHeight="1" x14ac:dyDescent="0.3">
      <c r="D678" s="6"/>
    </row>
    <row r="679" spans="4:4" ht="14.25" customHeight="1" x14ac:dyDescent="0.3">
      <c r="D679" s="6"/>
    </row>
    <row r="680" spans="4:4" ht="14.25" customHeight="1" x14ac:dyDescent="0.3">
      <c r="D680" s="6"/>
    </row>
    <row r="681" spans="4:4" ht="14.25" customHeight="1" x14ac:dyDescent="0.3">
      <c r="D681" s="6"/>
    </row>
    <row r="682" spans="4:4" ht="14.25" customHeight="1" x14ac:dyDescent="0.3">
      <c r="D682" s="6"/>
    </row>
    <row r="683" spans="4:4" ht="14.25" customHeight="1" x14ac:dyDescent="0.3">
      <c r="D683" s="6"/>
    </row>
    <row r="684" spans="4:4" ht="14.25" customHeight="1" x14ac:dyDescent="0.3">
      <c r="D684" s="6"/>
    </row>
    <row r="685" spans="4:4" ht="14.25" customHeight="1" x14ac:dyDescent="0.3">
      <c r="D685" s="6"/>
    </row>
    <row r="686" spans="4:4" ht="14.25" customHeight="1" x14ac:dyDescent="0.3">
      <c r="D686" s="6"/>
    </row>
    <row r="687" spans="4:4" ht="14.25" customHeight="1" x14ac:dyDescent="0.3">
      <c r="D687" s="6"/>
    </row>
    <row r="688" spans="4:4" ht="14.25" customHeight="1" x14ac:dyDescent="0.3">
      <c r="D688" s="6"/>
    </row>
    <row r="689" spans="4:4" ht="14.25" customHeight="1" x14ac:dyDescent="0.3">
      <c r="D689" s="6"/>
    </row>
    <row r="690" spans="4:4" ht="14.25" customHeight="1" x14ac:dyDescent="0.3">
      <c r="D690" s="6"/>
    </row>
    <row r="691" spans="4:4" ht="14.25" customHeight="1" x14ac:dyDescent="0.3">
      <c r="D691" s="6"/>
    </row>
    <row r="692" spans="4:4" ht="14.25" customHeight="1" x14ac:dyDescent="0.3">
      <c r="D692" s="6"/>
    </row>
    <row r="693" spans="4:4" ht="14.25" customHeight="1" x14ac:dyDescent="0.3">
      <c r="D693" s="6"/>
    </row>
    <row r="694" spans="4:4" ht="14.25" customHeight="1" x14ac:dyDescent="0.3">
      <c r="D694" s="6"/>
    </row>
    <row r="695" spans="4:4" ht="14.25" customHeight="1" x14ac:dyDescent="0.3">
      <c r="D695" s="6"/>
    </row>
    <row r="696" spans="4:4" ht="14.25" customHeight="1" x14ac:dyDescent="0.3">
      <c r="D696" s="6"/>
    </row>
    <row r="697" spans="4:4" ht="14.25" customHeight="1" x14ac:dyDescent="0.3">
      <c r="D697" s="6"/>
    </row>
    <row r="698" spans="4:4" ht="14.25" customHeight="1" x14ac:dyDescent="0.3">
      <c r="D698" s="6"/>
    </row>
    <row r="699" spans="4:4" ht="14.25" customHeight="1" x14ac:dyDescent="0.3">
      <c r="D699" s="6"/>
    </row>
    <row r="700" spans="4:4" ht="14.25" customHeight="1" x14ac:dyDescent="0.3">
      <c r="D700" s="6"/>
    </row>
    <row r="701" spans="4:4" ht="14.25" customHeight="1" x14ac:dyDescent="0.3">
      <c r="D701" s="6"/>
    </row>
    <row r="702" spans="4:4" ht="14.25" customHeight="1" x14ac:dyDescent="0.3">
      <c r="D702" s="6"/>
    </row>
    <row r="703" spans="4:4" ht="14.25" customHeight="1" x14ac:dyDescent="0.3">
      <c r="D703" s="6"/>
    </row>
    <row r="704" spans="4:4" ht="14.25" customHeight="1" x14ac:dyDescent="0.3">
      <c r="D704" s="6"/>
    </row>
    <row r="705" spans="4:4" ht="14.25" customHeight="1" x14ac:dyDescent="0.3">
      <c r="D705" s="6"/>
    </row>
    <row r="706" spans="4:4" ht="14.25" customHeight="1" x14ac:dyDescent="0.3">
      <c r="D706" s="6"/>
    </row>
    <row r="707" spans="4:4" ht="14.25" customHeight="1" x14ac:dyDescent="0.3">
      <c r="D707" s="6"/>
    </row>
    <row r="708" spans="4:4" ht="14.25" customHeight="1" x14ac:dyDescent="0.3">
      <c r="D708" s="6"/>
    </row>
    <row r="709" spans="4:4" ht="14.25" customHeight="1" x14ac:dyDescent="0.3">
      <c r="D709" s="6"/>
    </row>
    <row r="710" spans="4:4" ht="14.25" customHeight="1" x14ac:dyDescent="0.3">
      <c r="D710" s="6"/>
    </row>
    <row r="711" spans="4:4" ht="14.25" customHeight="1" x14ac:dyDescent="0.3">
      <c r="D711" s="6"/>
    </row>
    <row r="712" spans="4:4" ht="14.25" customHeight="1" x14ac:dyDescent="0.3">
      <c r="D712" s="6"/>
    </row>
    <row r="713" spans="4:4" ht="14.25" customHeight="1" x14ac:dyDescent="0.3">
      <c r="D713" s="6"/>
    </row>
    <row r="714" spans="4:4" ht="14.25" customHeight="1" x14ac:dyDescent="0.3">
      <c r="D714" s="6"/>
    </row>
    <row r="715" spans="4:4" ht="14.25" customHeight="1" x14ac:dyDescent="0.3">
      <c r="D715" s="6"/>
    </row>
    <row r="716" spans="4:4" ht="14.25" customHeight="1" x14ac:dyDescent="0.3">
      <c r="D716" s="6"/>
    </row>
    <row r="717" spans="4:4" ht="14.25" customHeight="1" x14ac:dyDescent="0.3">
      <c r="D717" s="6"/>
    </row>
    <row r="718" spans="4:4" ht="14.25" customHeight="1" x14ac:dyDescent="0.3">
      <c r="D718" s="6"/>
    </row>
    <row r="719" spans="4:4" ht="14.25" customHeight="1" x14ac:dyDescent="0.3">
      <c r="D719" s="6"/>
    </row>
    <row r="720" spans="4:4" ht="14.25" customHeight="1" x14ac:dyDescent="0.3">
      <c r="D720" s="6"/>
    </row>
    <row r="721" spans="4:4" ht="14.25" customHeight="1" x14ac:dyDescent="0.3">
      <c r="D721" s="6"/>
    </row>
    <row r="722" spans="4:4" ht="14.25" customHeight="1" x14ac:dyDescent="0.3">
      <c r="D722" s="6"/>
    </row>
    <row r="723" spans="4:4" ht="14.25" customHeight="1" x14ac:dyDescent="0.3">
      <c r="D723" s="6"/>
    </row>
    <row r="724" spans="4:4" ht="14.25" customHeight="1" x14ac:dyDescent="0.3">
      <c r="D724" s="6"/>
    </row>
    <row r="725" spans="4:4" ht="14.25" customHeight="1" x14ac:dyDescent="0.3">
      <c r="D725" s="6"/>
    </row>
    <row r="726" spans="4:4" ht="14.25" customHeight="1" x14ac:dyDescent="0.3">
      <c r="D726" s="6"/>
    </row>
    <row r="727" spans="4:4" ht="14.25" customHeight="1" x14ac:dyDescent="0.3">
      <c r="D727" s="6"/>
    </row>
    <row r="728" spans="4:4" ht="14.25" customHeight="1" x14ac:dyDescent="0.3">
      <c r="D728" s="6"/>
    </row>
    <row r="729" spans="4:4" ht="14.25" customHeight="1" x14ac:dyDescent="0.3">
      <c r="D729" s="6"/>
    </row>
    <row r="730" spans="4:4" ht="14.25" customHeight="1" x14ac:dyDescent="0.3">
      <c r="D730" s="6"/>
    </row>
    <row r="731" spans="4:4" ht="14.25" customHeight="1" x14ac:dyDescent="0.3">
      <c r="D731" s="6"/>
    </row>
    <row r="732" spans="4:4" ht="14.25" customHeight="1" x14ac:dyDescent="0.3">
      <c r="D732" s="6"/>
    </row>
    <row r="733" spans="4:4" ht="14.25" customHeight="1" x14ac:dyDescent="0.3">
      <c r="D733" s="6"/>
    </row>
    <row r="734" spans="4:4" ht="14.25" customHeight="1" x14ac:dyDescent="0.3">
      <c r="D734" s="6"/>
    </row>
    <row r="735" spans="4:4" ht="14.25" customHeight="1" x14ac:dyDescent="0.3">
      <c r="D735" s="6"/>
    </row>
    <row r="736" spans="4:4" ht="14.25" customHeight="1" x14ac:dyDescent="0.3">
      <c r="D736" s="6"/>
    </row>
    <row r="737" spans="4:4" ht="14.25" customHeight="1" x14ac:dyDescent="0.3">
      <c r="D737" s="6"/>
    </row>
    <row r="738" spans="4:4" ht="14.25" customHeight="1" x14ac:dyDescent="0.3">
      <c r="D738" s="6"/>
    </row>
    <row r="739" spans="4:4" ht="14.25" customHeight="1" x14ac:dyDescent="0.3">
      <c r="D739" s="6"/>
    </row>
    <row r="740" spans="4:4" ht="14.25" customHeight="1" x14ac:dyDescent="0.3">
      <c r="D740" s="6"/>
    </row>
    <row r="741" spans="4:4" ht="14.25" customHeight="1" x14ac:dyDescent="0.3">
      <c r="D741" s="6"/>
    </row>
    <row r="742" spans="4:4" ht="14.25" customHeight="1" x14ac:dyDescent="0.3">
      <c r="D742" s="6"/>
    </row>
    <row r="743" spans="4:4" ht="14.25" customHeight="1" x14ac:dyDescent="0.3">
      <c r="D743" s="6"/>
    </row>
    <row r="744" spans="4:4" ht="14.25" customHeight="1" x14ac:dyDescent="0.3">
      <c r="D744" s="6"/>
    </row>
    <row r="745" spans="4:4" ht="14.25" customHeight="1" x14ac:dyDescent="0.3">
      <c r="D745" s="6"/>
    </row>
    <row r="746" spans="4:4" ht="14.25" customHeight="1" x14ac:dyDescent="0.3">
      <c r="D746" s="6"/>
    </row>
    <row r="747" spans="4:4" ht="14.25" customHeight="1" x14ac:dyDescent="0.3">
      <c r="D747" s="6"/>
    </row>
    <row r="748" spans="4:4" ht="14.25" customHeight="1" x14ac:dyDescent="0.3">
      <c r="D748" s="6"/>
    </row>
    <row r="749" spans="4:4" ht="14.25" customHeight="1" x14ac:dyDescent="0.3">
      <c r="D749" s="6"/>
    </row>
    <row r="750" spans="4:4" ht="14.25" customHeight="1" x14ac:dyDescent="0.3">
      <c r="D750" s="6"/>
    </row>
    <row r="751" spans="4:4" ht="14.25" customHeight="1" x14ac:dyDescent="0.3">
      <c r="D751" s="6"/>
    </row>
    <row r="752" spans="4:4" ht="14.25" customHeight="1" x14ac:dyDescent="0.3">
      <c r="D752" s="6"/>
    </row>
    <row r="753" spans="4:4" ht="14.25" customHeight="1" x14ac:dyDescent="0.3">
      <c r="D753" s="6"/>
    </row>
    <row r="754" spans="4:4" ht="14.25" customHeight="1" x14ac:dyDescent="0.3">
      <c r="D754" s="6"/>
    </row>
    <row r="755" spans="4:4" ht="14.25" customHeight="1" x14ac:dyDescent="0.3">
      <c r="D755" s="6"/>
    </row>
    <row r="756" spans="4:4" ht="14.25" customHeight="1" x14ac:dyDescent="0.3">
      <c r="D756" s="6"/>
    </row>
    <row r="757" spans="4:4" ht="14.25" customHeight="1" x14ac:dyDescent="0.3">
      <c r="D757" s="6"/>
    </row>
    <row r="758" spans="4:4" ht="14.25" customHeight="1" x14ac:dyDescent="0.3">
      <c r="D758" s="6"/>
    </row>
    <row r="759" spans="4:4" ht="14.25" customHeight="1" x14ac:dyDescent="0.3">
      <c r="D759" s="6"/>
    </row>
    <row r="760" spans="4:4" ht="14.25" customHeight="1" x14ac:dyDescent="0.3">
      <c r="D760" s="6"/>
    </row>
    <row r="761" spans="4:4" ht="14.25" customHeight="1" x14ac:dyDescent="0.3">
      <c r="D761" s="6"/>
    </row>
    <row r="762" spans="4:4" ht="14.25" customHeight="1" x14ac:dyDescent="0.3">
      <c r="D762" s="6"/>
    </row>
    <row r="763" spans="4:4" ht="14.25" customHeight="1" x14ac:dyDescent="0.3">
      <c r="D763" s="6"/>
    </row>
    <row r="764" spans="4:4" ht="14.25" customHeight="1" x14ac:dyDescent="0.3">
      <c r="D764" s="6"/>
    </row>
    <row r="765" spans="4:4" ht="14.25" customHeight="1" x14ac:dyDescent="0.3">
      <c r="D765" s="6"/>
    </row>
    <row r="766" spans="4:4" ht="14.25" customHeight="1" x14ac:dyDescent="0.3">
      <c r="D766" s="6"/>
    </row>
    <row r="767" spans="4:4" ht="14.25" customHeight="1" x14ac:dyDescent="0.3">
      <c r="D767" s="6"/>
    </row>
    <row r="768" spans="4:4" ht="14.25" customHeight="1" x14ac:dyDescent="0.3">
      <c r="D768" s="6"/>
    </row>
    <row r="769" spans="4:4" ht="14.25" customHeight="1" x14ac:dyDescent="0.3">
      <c r="D769" s="6"/>
    </row>
    <row r="770" spans="4:4" ht="14.25" customHeight="1" x14ac:dyDescent="0.3">
      <c r="D770" s="6"/>
    </row>
    <row r="771" spans="4:4" ht="14.25" customHeight="1" x14ac:dyDescent="0.3">
      <c r="D771" s="6"/>
    </row>
    <row r="772" spans="4:4" ht="14.25" customHeight="1" x14ac:dyDescent="0.3">
      <c r="D772" s="6"/>
    </row>
    <row r="773" spans="4:4" ht="14.25" customHeight="1" x14ac:dyDescent="0.3">
      <c r="D773" s="6"/>
    </row>
    <row r="774" spans="4:4" ht="14.25" customHeight="1" x14ac:dyDescent="0.3">
      <c r="D774" s="6"/>
    </row>
    <row r="775" spans="4:4" ht="14.25" customHeight="1" x14ac:dyDescent="0.3">
      <c r="D775" s="6"/>
    </row>
    <row r="776" spans="4:4" ht="14.25" customHeight="1" x14ac:dyDescent="0.3">
      <c r="D776" s="6"/>
    </row>
    <row r="777" spans="4:4" ht="14.25" customHeight="1" x14ac:dyDescent="0.3">
      <c r="D777" s="6"/>
    </row>
    <row r="778" spans="4:4" ht="14.25" customHeight="1" x14ac:dyDescent="0.3">
      <c r="D778" s="6"/>
    </row>
    <row r="779" spans="4:4" ht="14.25" customHeight="1" x14ac:dyDescent="0.3">
      <c r="D779" s="6"/>
    </row>
    <row r="780" spans="4:4" ht="14.25" customHeight="1" x14ac:dyDescent="0.3">
      <c r="D780" s="6"/>
    </row>
    <row r="781" spans="4:4" ht="14.25" customHeight="1" x14ac:dyDescent="0.3">
      <c r="D781" s="6"/>
    </row>
    <row r="782" spans="4:4" ht="14.25" customHeight="1" x14ac:dyDescent="0.3">
      <c r="D782" s="6"/>
    </row>
    <row r="783" spans="4:4" ht="14.25" customHeight="1" x14ac:dyDescent="0.3">
      <c r="D783" s="6"/>
    </row>
    <row r="784" spans="4:4" ht="14.25" customHeight="1" x14ac:dyDescent="0.3">
      <c r="D784" s="6"/>
    </row>
    <row r="785" spans="4:4" ht="14.25" customHeight="1" x14ac:dyDescent="0.3">
      <c r="D785" s="6"/>
    </row>
    <row r="786" spans="4:4" ht="14.25" customHeight="1" x14ac:dyDescent="0.3">
      <c r="D786" s="6"/>
    </row>
    <row r="787" spans="4:4" ht="14.25" customHeight="1" x14ac:dyDescent="0.3">
      <c r="D787" s="6"/>
    </row>
    <row r="788" spans="4:4" ht="14.25" customHeight="1" x14ac:dyDescent="0.3">
      <c r="D788" s="6"/>
    </row>
    <row r="789" spans="4:4" ht="14.25" customHeight="1" x14ac:dyDescent="0.3">
      <c r="D789" s="6"/>
    </row>
    <row r="790" spans="4:4" ht="14.25" customHeight="1" x14ac:dyDescent="0.3">
      <c r="D790" s="6"/>
    </row>
    <row r="791" spans="4:4" ht="14.25" customHeight="1" x14ac:dyDescent="0.3">
      <c r="D791" s="6"/>
    </row>
    <row r="792" spans="4:4" ht="14.25" customHeight="1" x14ac:dyDescent="0.3">
      <c r="D792" s="6"/>
    </row>
    <row r="793" spans="4:4" ht="14.25" customHeight="1" x14ac:dyDescent="0.3">
      <c r="D793" s="6"/>
    </row>
    <row r="794" spans="4:4" ht="14.25" customHeight="1" x14ac:dyDescent="0.3">
      <c r="D794" s="6"/>
    </row>
    <row r="795" spans="4:4" ht="14.25" customHeight="1" x14ac:dyDescent="0.3">
      <c r="D795" s="6"/>
    </row>
    <row r="796" spans="4:4" ht="14.25" customHeight="1" x14ac:dyDescent="0.3">
      <c r="D796" s="6"/>
    </row>
    <row r="797" spans="4:4" ht="14.25" customHeight="1" x14ac:dyDescent="0.3">
      <c r="D797" s="6"/>
    </row>
    <row r="798" spans="4:4" ht="14.25" customHeight="1" x14ac:dyDescent="0.3">
      <c r="D798" s="6"/>
    </row>
    <row r="799" spans="4:4" ht="14.25" customHeight="1" x14ac:dyDescent="0.3">
      <c r="D799" s="6"/>
    </row>
    <row r="800" spans="4:4" ht="14.25" customHeight="1" x14ac:dyDescent="0.3">
      <c r="D800" s="6"/>
    </row>
    <row r="801" spans="4:4" ht="14.25" customHeight="1" x14ac:dyDescent="0.3">
      <c r="D801" s="6"/>
    </row>
    <row r="802" spans="4:4" ht="14.25" customHeight="1" x14ac:dyDescent="0.3">
      <c r="D802" s="6"/>
    </row>
    <row r="803" spans="4:4" ht="14.25" customHeight="1" x14ac:dyDescent="0.3">
      <c r="D803" s="6"/>
    </row>
    <row r="804" spans="4:4" ht="14.25" customHeight="1" x14ac:dyDescent="0.3">
      <c r="D804" s="6"/>
    </row>
    <row r="805" spans="4:4" ht="14.25" customHeight="1" x14ac:dyDescent="0.3">
      <c r="D805" s="6"/>
    </row>
    <row r="806" spans="4:4" ht="14.25" customHeight="1" x14ac:dyDescent="0.3">
      <c r="D806" s="6"/>
    </row>
    <row r="807" spans="4:4" ht="14.25" customHeight="1" x14ac:dyDescent="0.3">
      <c r="D807" s="6"/>
    </row>
    <row r="808" spans="4:4" ht="14.25" customHeight="1" x14ac:dyDescent="0.3">
      <c r="D808" s="6"/>
    </row>
    <row r="809" spans="4:4" ht="14.25" customHeight="1" x14ac:dyDescent="0.3">
      <c r="D809" s="6"/>
    </row>
    <row r="810" spans="4:4" ht="14.25" customHeight="1" x14ac:dyDescent="0.3">
      <c r="D810" s="6"/>
    </row>
    <row r="811" spans="4:4" ht="14.25" customHeight="1" x14ac:dyDescent="0.3">
      <c r="D811" s="6"/>
    </row>
    <row r="812" spans="4:4" ht="14.25" customHeight="1" x14ac:dyDescent="0.3">
      <c r="D812" s="6"/>
    </row>
    <row r="813" spans="4:4" ht="14.25" customHeight="1" x14ac:dyDescent="0.3">
      <c r="D813" s="6"/>
    </row>
    <row r="814" spans="4:4" ht="14.25" customHeight="1" x14ac:dyDescent="0.3">
      <c r="D814" s="6"/>
    </row>
    <row r="815" spans="4:4" ht="14.25" customHeight="1" x14ac:dyDescent="0.3">
      <c r="D815" s="6"/>
    </row>
    <row r="816" spans="4:4" ht="14.25" customHeight="1" x14ac:dyDescent="0.3">
      <c r="D816" s="6"/>
    </row>
    <row r="817" spans="4:4" ht="14.25" customHeight="1" x14ac:dyDescent="0.3">
      <c r="D817" s="6"/>
    </row>
    <row r="818" spans="4:4" ht="14.25" customHeight="1" x14ac:dyDescent="0.3">
      <c r="D818" s="6"/>
    </row>
    <row r="819" spans="4:4" ht="14.25" customHeight="1" x14ac:dyDescent="0.3">
      <c r="D819" s="6"/>
    </row>
    <row r="820" spans="4:4" ht="14.25" customHeight="1" x14ac:dyDescent="0.3">
      <c r="D820" s="6"/>
    </row>
    <row r="821" spans="4:4" ht="14.25" customHeight="1" x14ac:dyDescent="0.3">
      <c r="D821" s="6"/>
    </row>
    <row r="822" spans="4:4" ht="14.25" customHeight="1" x14ac:dyDescent="0.3">
      <c r="D822" s="6"/>
    </row>
    <row r="823" spans="4:4" ht="14.25" customHeight="1" x14ac:dyDescent="0.3">
      <c r="D823" s="6"/>
    </row>
    <row r="824" spans="4:4" ht="14.25" customHeight="1" x14ac:dyDescent="0.3">
      <c r="D824" s="6"/>
    </row>
    <row r="825" spans="4:4" ht="14.25" customHeight="1" x14ac:dyDescent="0.3">
      <c r="D825" s="6"/>
    </row>
    <row r="826" spans="4:4" ht="14.25" customHeight="1" x14ac:dyDescent="0.3">
      <c r="D826" s="6"/>
    </row>
    <row r="827" spans="4:4" ht="14.25" customHeight="1" x14ac:dyDescent="0.3">
      <c r="D827" s="6"/>
    </row>
    <row r="828" spans="4:4" ht="14.25" customHeight="1" x14ac:dyDescent="0.3">
      <c r="D828" s="6"/>
    </row>
    <row r="829" spans="4:4" ht="14.25" customHeight="1" x14ac:dyDescent="0.3">
      <c r="D829" s="6"/>
    </row>
    <row r="830" spans="4:4" ht="14.25" customHeight="1" x14ac:dyDescent="0.3">
      <c r="D830" s="6"/>
    </row>
    <row r="831" spans="4:4" ht="14.25" customHeight="1" x14ac:dyDescent="0.3">
      <c r="D831" s="6"/>
    </row>
    <row r="832" spans="4:4" ht="14.25" customHeight="1" x14ac:dyDescent="0.3">
      <c r="D832" s="6"/>
    </row>
    <row r="833" spans="4:4" ht="14.25" customHeight="1" x14ac:dyDescent="0.3">
      <c r="D833" s="6"/>
    </row>
    <row r="834" spans="4:4" ht="14.25" customHeight="1" x14ac:dyDescent="0.3">
      <c r="D834" s="6"/>
    </row>
    <row r="835" spans="4:4" ht="14.25" customHeight="1" x14ac:dyDescent="0.3">
      <c r="D835" s="6"/>
    </row>
    <row r="836" spans="4:4" ht="14.25" customHeight="1" x14ac:dyDescent="0.3">
      <c r="D836" s="6"/>
    </row>
    <row r="837" spans="4:4" ht="14.25" customHeight="1" x14ac:dyDescent="0.3">
      <c r="D837" s="6"/>
    </row>
    <row r="838" spans="4:4" ht="14.25" customHeight="1" x14ac:dyDescent="0.3">
      <c r="D838" s="6"/>
    </row>
    <row r="839" spans="4:4" ht="14.25" customHeight="1" x14ac:dyDescent="0.3">
      <c r="D839" s="6"/>
    </row>
    <row r="840" spans="4:4" ht="14.25" customHeight="1" x14ac:dyDescent="0.3">
      <c r="D840" s="6"/>
    </row>
    <row r="841" spans="4:4" ht="14.25" customHeight="1" x14ac:dyDescent="0.3">
      <c r="D841" s="6"/>
    </row>
    <row r="842" spans="4:4" ht="14.25" customHeight="1" x14ac:dyDescent="0.3">
      <c r="D842" s="6"/>
    </row>
    <row r="843" spans="4:4" ht="14.25" customHeight="1" x14ac:dyDescent="0.3">
      <c r="D843" s="6"/>
    </row>
    <row r="844" spans="4:4" ht="14.25" customHeight="1" x14ac:dyDescent="0.3">
      <c r="D844" s="6"/>
    </row>
    <row r="845" spans="4:4" ht="14.25" customHeight="1" x14ac:dyDescent="0.3">
      <c r="D845" s="6"/>
    </row>
    <row r="846" spans="4:4" ht="14.25" customHeight="1" x14ac:dyDescent="0.3">
      <c r="D846" s="6"/>
    </row>
    <row r="847" spans="4:4" ht="14.25" customHeight="1" x14ac:dyDescent="0.3">
      <c r="D847" s="6"/>
    </row>
    <row r="848" spans="4:4" ht="14.25" customHeight="1" x14ac:dyDescent="0.3">
      <c r="D848" s="6"/>
    </row>
    <row r="849" spans="4:4" ht="14.25" customHeight="1" x14ac:dyDescent="0.3">
      <c r="D849" s="6"/>
    </row>
    <row r="850" spans="4:4" ht="14.25" customHeight="1" x14ac:dyDescent="0.3">
      <c r="D850" s="6"/>
    </row>
    <row r="851" spans="4:4" ht="14.25" customHeight="1" x14ac:dyDescent="0.3">
      <c r="D851" s="6"/>
    </row>
    <row r="852" spans="4:4" ht="14.25" customHeight="1" x14ac:dyDescent="0.3">
      <c r="D852" s="6"/>
    </row>
    <row r="853" spans="4:4" ht="14.25" customHeight="1" x14ac:dyDescent="0.3">
      <c r="D853" s="6"/>
    </row>
    <row r="854" spans="4:4" ht="14.25" customHeight="1" x14ac:dyDescent="0.3">
      <c r="D854" s="6"/>
    </row>
    <row r="855" spans="4:4" ht="14.25" customHeight="1" x14ac:dyDescent="0.3">
      <c r="D855" s="6"/>
    </row>
    <row r="856" spans="4:4" ht="14.25" customHeight="1" x14ac:dyDescent="0.3">
      <c r="D856" s="6"/>
    </row>
    <row r="857" spans="4:4" ht="14.25" customHeight="1" x14ac:dyDescent="0.3">
      <c r="D857" s="6"/>
    </row>
    <row r="858" spans="4:4" ht="14.25" customHeight="1" x14ac:dyDescent="0.3">
      <c r="D858" s="6"/>
    </row>
    <row r="859" spans="4:4" ht="14.25" customHeight="1" x14ac:dyDescent="0.3">
      <c r="D859" s="6"/>
    </row>
    <row r="860" spans="4:4" ht="14.25" customHeight="1" x14ac:dyDescent="0.3">
      <c r="D860" s="6"/>
    </row>
    <row r="861" spans="4:4" ht="14.25" customHeight="1" x14ac:dyDescent="0.3">
      <c r="D861" s="6"/>
    </row>
    <row r="862" spans="4:4" ht="14.25" customHeight="1" x14ac:dyDescent="0.3">
      <c r="D862" s="6"/>
    </row>
    <row r="863" spans="4:4" ht="14.25" customHeight="1" x14ac:dyDescent="0.3">
      <c r="D863" s="6"/>
    </row>
    <row r="864" spans="4:4" ht="14.25" customHeight="1" x14ac:dyDescent="0.3">
      <c r="D864" s="6"/>
    </row>
    <row r="865" spans="4:4" ht="14.25" customHeight="1" x14ac:dyDescent="0.3">
      <c r="D865" s="6"/>
    </row>
    <row r="866" spans="4:4" ht="14.25" customHeight="1" x14ac:dyDescent="0.3">
      <c r="D866" s="6"/>
    </row>
    <row r="867" spans="4:4" ht="14.25" customHeight="1" x14ac:dyDescent="0.3">
      <c r="D867" s="6"/>
    </row>
    <row r="868" spans="4:4" ht="14.25" customHeight="1" x14ac:dyDescent="0.3">
      <c r="D868" s="6"/>
    </row>
    <row r="869" spans="4:4" ht="14.25" customHeight="1" x14ac:dyDescent="0.3">
      <c r="D869" s="6"/>
    </row>
    <row r="870" spans="4:4" ht="14.25" customHeight="1" x14ac:dyDescent="0.3">
      <c r="D870" s="6"/>
    </row>
    <row r="871" spans="4:4" ht="14.25" customHeight="1" x14ac:dyDescent="0.3">
      <c r="D871" s="6"/>
    </row>
    <row r="872" spans="4:4" ht="14.25" customHeight="1" x14ac:dyDescent="0.3">
      <c r="D872" s="6"/>
    </row>
    <row r="873" spans="4:4" ht="14.25" customHeight="1" x14ac:dyDescent="0.3">
      <c r="D873" s="6"/>
    </row>
    <row r="874" spans="4:4" ht="14.25" customHeight="1" x14ac:dyDescent="0.3">
      <c r="D874" s="6"/>
    </row>
    <row r="875" spans="4:4" ht="14.25" customHeight="1" x14ac:dyDescent="0.3">
      <c r="D875" s="6"/>
    </row>
    <row r="876" spans="4:4" ht="14.25" customHeight="1" x14ac:dyDescent="0.3">
      <c r="D876" s="6"/>
    </row>
    <row r="877" spans="4:4" ht="14.25" customHeight="1" x14ac:dyDescent="0.3">
      <c r="D877" s="6"/>
    </row>
    <row r="878" spans="4:4" ht="14.25" customHeight="1" x14ac:dyDescent="0.3">
      <c r="D878" s="6"/>
    </row>
    <row r="879" spans="4:4" ht="14.25" customHeight="1" x14ac:dyDescent="0.3">
      <c r="D879" s="6"/>
    </row>
    <row r="880" spans="4:4" ht="14.25" customHeight="1" x14ac:dyDescent="0.3">
      <c r="D880" s="6"/>
    </row>
    <row r="881" spans="4:4" ht="14.25" customHeight="1" x14ac:dyDescent="0.3">
      <c r="D881" s="6"/>
    </row>
    <row r="882" spans="4:4" ht="14.25" customHeight="1" x14ac:dyDescent="0.3">
      <c r="D882" s="6"/>
    </row>
    <row r="883" spans="4:4" ht="14.25" customHeight="1" x14ac:dyDescent="0.3">
      <c r="D883" s="6"/>
    </row>
    <row r="884" spans="4:4" ht="14.25" customHeight="1" x14ac:dyDescent="0.3">
      <c r="D884" s="6"/>
    </row>
    <row r="885" spans="4:4" ht="14.25" customHeight="1" x14ac:dyDescent="0.3">
      <c r="D885" s="6"/>
    </row>
    <row r="886" spans="4:4" ht="14.25" customHeight="1" x14ac:dyDescent="0.3">
      <c r="D886" s="6"/>
    </row>
    <row r="887" spans="4:4" ht="14.25" customHeight="1" x14ac:dyDescent="0.3">
      <c r="D887" s="6"/>
    </row>
    <row r="888" spans="4:4" ht="14.25" customHeight="1" x14ac:dyDescent="0.3">
      <c r="D888" s="6"/>
    </row>
    <row r="889" spans="4:4" ht="14.25" customHeight="1" x14ac:dyDescent="0.3">
      <c r="D889" s="6"/>
    </row>
    <row r="890" spans="4:4" ht="14.25" customHeight="1" x14ac:dyDescent="0.3">
      <c r="D890" s="6"/>
    </row>
    <row r="891" spans="4:4" ht="14.25" customHeight="1" x14ac:dyDescent="0.3">
      <c r="D891" s="6"/>
    </row>
    <row r="892" spans="4:4" ht="14.25" customHeight="1" x14ac:dyDescent="0.3">
      <c r="D892" s="6"/>
    </row>
    <row r="893" spans="4:4" ht="14.25" customHeight="1" x14ac:dyDescent="0.3">
      <c r="D893" s="6"/>
    </row>
    <row r="894" spans="4:4" ht="14.25" customHeight="1" x14ac:dyDescent="0.3">
      <c r="D894" s="6"/>
    </row>
    <row r="895" spans="4:4" ht="14.25" customHeight="1" x14ac:dyDescent="0.3">
      <c r="D895" s="6"/>
    </row>
    <row r="896" spans="4:4" ht="14.25" customHeight="1" x14ac:dyDescent="0.3">
      <c r="D896" s="6"/>
    </row>
    <row r="897" spans="4:4" ht="14.25" customHeight="1" x14ac:dyDescent="0.3">
      <c r="D897" s="6"/>
    </row>
    <row r="898" spans="4:4" ht="14.25" customHeight="1" x14ac:dyDescent="0.3">
      <c r="D898" s="6"/>
    </row>
    <row r="899" spans="4:4" ht="14.25" customHeight="1" x14ac:dyDescent="0.3">
      <c r="D899" s="6"/>
    </row>
    <row r="900" spans="4:4" ht="14.25" customHeight="1" x14ac:dyDescent="0.3">
      <c r="D900" s="6"/>
    </row>
    <row r="901" spans="4:4" ht="14.25" customHeight="1" x14ac:dyDescent="0.3">
      <c r="D901" s="6"/>
    </row>
    <row r="902" spans="4:4" ht="14.25" customHeight="1" x14ac:dyDescent="0.3">
      <c r="D902" s="6"/>
    </row>
    <row r="903" spans="4:4" ht="14.25" customHeight="1" x14ac:dyDescent="0.3">
      <c r="D903" s="6"/>
    </row>
    <row r="904" spans="4:4" ht="14.25" customHeight="1" x14ac:dyDescent="0.3">
      <c r="D904" s="6"/>
    </row>
    <row r="905" spans="4:4" ht="14.25" customHeight="1" x14ac:dyDescent="0.3">
      <c r="D905" s="6"/>
    </row>
    <row r="906" spans="4:4" ht="14.25" customHeight="1" x14ac:dyDescent="0.3">
      <c r="D906" s="6"/>
    </row>
    <row r="907" spans="4:4" ht="14.25" customHeight="1" x14ac:dyDescent="0.3">
      <c r="D907" s="6"/>
    </row>
    <row r="908" spans="4:4" ht="14.25" customHeight="1" x14ac:dyDescent="0.3">
      <c r="D908" s="6"/>
    </row>
    <row r="909" spans="4:4" ht="14.25" customHeight="1" x14ac:dyDescent="0.3">
      <c r="D909" s="6"/>
    </row>
    <row r="910" spans="4:4" ht="14.25" customHeight="1" x14ac:dyDescent="0.3">
      <c r="D910" s="6"/>
    </row>
    <row r="911" spans="4:4" ht="14.25" customHeight="1" x14ac:dyDescent="0.3">
      <c r="D911" s="6"/>
    </row>
    <row r="912" spans="4:4" ht="14.25" customHeight="1" x14ac:dyDescent="0.3">
      <c r="D912" s="6"/>
    </row>
    <row r="913" spans="4:4" ht="14.25" customHeight="1" x14ac:dyDescent="0.3">
      <c r="D913" s="6"/>
    </row>
    <row r="914" spans="4:4" ht="14.25" customHeight="1" x14ac:dyDescent="0.3">
      <c r="D914" s="6"/>
    </row>
    <row r="915" spans="4:4" ht="14.25" customHeight="1" x14ac:dyDescent="0.3">
      <c r="D915" s="6"/>
    </row>
    <row r="916" spans="4:4" ht="14.25" customHeight="1" x14ac:dyDescent="0.3">
      <c r="D916" s="6"/>
    </row>
    <row r="917" spans="4:4" ht="14.25" customHeight="1" x14ac:dyDescent="0.3">
      <c r="D917" s="6"/>
    </row>
    <row r="918" spans="4:4" ht="14.25" customHeight="1" x14ac:dyDescent="0.3">
      <c r="D918" s="6"/>
    </row>
    <row r="919" spans="4:4" ht="14.25" customHeight="1" x14ac:dyDescent="0.3">
      <c r="D919" s="6"/>
    </row>
    <row r="920" spans="4:4" ht="14.25" customHeight="1" x14ac:dyDescent="0.3">
      <c r="D920" s="6"/>
    </row>
    <row r="921" spans="4:4" ht="14.25" customHeight="1" x14ac:dyDescent="0.3">
      <c r="D921" s="6"/>
    </row>
    <row r="922" spans="4:4" ht="14.25" customHeight="1" x14ac:dyDescent="0.3">
      <c r="D922" s="6"/>
    </row>
    <row r="923" spans="4:4" ht="14.25" customHeight="1" x14ac:dyDescent="0.3">
      <c r="D923" s="6"/>
    </row>
    <row r="924" spans="4:4" ht="14.25" customHeight="1" x14ac:dyDescent="0.3">
      <c r="D924" s="6"/>
    </row>
    <row r="925" spans="4:4" ht="14.25" customHeight="1" x14ac:dyDescent="0.3">
      <c r="D925" s="6"/>
    </row>
    <row r="926" spans="4:4" ht="14.25" customHeight="1" x14ac:dyDescent="0.3">
      <c r="D926" s="6"/>
    </row>
    <row r="927" spans="4:4" ht="14.25" customHeight="1" x14ac:dyDescent="0.3">
      <c r="D927" s="6"/>
    </row>
    <row r="928" spans="4:4" ht="14.25" customHeight="1" x14ac:dyDescent="0.3">
      <c r="D928" s="6"/>
    </row>
    <row r="929" spans="4:4" ht="14.25" customHeight="1" x14ac:dyDescent="0.3">
      <c r="D929" s="6"/>
    </row>
    <row r="930" spans="4:4" ht="14.25" customHeight="1" x14ac:dyDescent="0.3">
      <c r="D930" s="6"/>
    </row>
    <row r="931" spans="4:4" ht="14.25" customHeight="1" x14ac:dyDescent="0.3">
      <c r="D931" s="6"/>
    </row>
    <row r="932" spans="4:4" ht="14.25" customHeight="1" x14ac:dyDescent="0.3">
      <c r="D932" s="6"/>
    </row>
    <row r="933" spans="4:4" ht="14.25" customHeight="1" x14ac:dyDescent="0.3">
      <c r="D933" s="6"/>
    </row>
    <row r="934" spans="4:4" ht="14.25" customHeight="1" x14ac:dyDescent="0.3">
      <c r="D934" s="6"/>
    </row>
    <row r="935" spans="4:4" ht="14.25" customHeight="1" x14ac:dyDescent="0.3">
      <c r="D935" s="6"/>
    </row>
    <row r="936" spans="4:4" ht="14.25" customHeight="1" x14ac:dyDescent="0.3">
      <c r="D936" s="6"/>
    </row>
    <row r="937" spans="4:4" ht="14.25" customHeight="1" x14ac:dyDescent="0.3">
      <c r="D937" s="6"/>
    </row>
    <row r="938" spans="4:4" ht="14.25" customHeight="1" x14ac:dyDescent="0.3">
      <c r="D938" s="6"/>
    </row>
    <row r="939" spans="4:4" ht="14.25" customHeight="1" x14ac:dyDescent="0.3">
      <c r="D939" s="6"/>
    </row>
    <row r="940" spans="4:4" ht="14.25" customHeight="1" x14ac:dyDescent="0.3">
      <c r="D940" s="6"/>
    </row>
    <row r="941" spans="4:4" ht="14.25" customHeight="1" x14ac:dyDescent="0.3">
      <c r="D941" s="6"/>
    </row>
    <row r="942" spans="4:4" ht="14.25" customHeight="1" x14ac:dyDescent="0.3">
      <c r="D942" s="6"/>
    </row>
    <row r="943" spans="4:4" ht="14.25" customHeight="1" x14ac:dyDescent="0.3">
      <c r="D943" s="6"/>
    </row>
    <row r="944" spans="4:4" ht="14.25" customHeight="1" x14ac:dyDescent="0.3">
      <c r="D944" s="6"/>
    </row>
    <row r="945" spans="4:4" ht="14.25" customHeight="1" x14ac:dyDescent="0.3">
      <c r="D945" s="6"/>
    </row>
    <row r="946" spans="4:4" ht="14.25" customHeight="1" x14ac:dyDescent="0.3">
      <c r="D946" s="6"/>
    </row>
    <row r="947" spans="4:4" ht="14.25" customHeight="1" x14ac:dyDescent="0.3">
      <c r="D947" s="6"/>
    </row>
    <row r="948" spans="4:4" ht="14.25" customHeight="1" x14ac:dyDescent="0.3">
      <c r="D948" s="6"/>
    </row>
    <row r="949" spans="4:4" ht="14.25" customHeight="1" x14ac:dyDescent="0.3">
      <c r="D949" s="6"/>
    </row>
    <row r="950" spans="4:4" ht="14.25" customHeight="1" x14ac:dyDescent="0.3">
      <c r="D950" s="6"/>
    </row>
    <row r="951" spans="4:4" ht="14.25" customHeight="1" x14ac:dyDescent="0.3">
      <c r="D951" s="6"/>
    </row>
    <row r="952" spans="4:4" ht="14.25" customHeight="1" x14ac:dyDescent="0.3">
      <c r="D952" s="6"/>
    </row>
    <row r="953" spans="4:4" ht="14.25" customHeight="1" x14ac:dyDescent="0.3">
      <c r="D953" s="6"/>
    </row>
    <row r="954" spans="4:4" ht="14.25" customHeight="1" x14ac:dyDescent="0.3">
      <c r="D954" s="6"/>
    </row>
    <row r="955" spans="4:4" ht="14.25" customHeight="1" x14ac:dyDescent="0.3">
      <c r="D955" s="6"/>
    </row>
    <row r="956" spans="4:4" ht="14.25" customHeight="1" x14ac:dyDescent="0.3">
      <c r="D956" s="6"/>
    </row>
    <row r="957" spans="4:4" ht="14.25" customHeight="1" x14ac:dyDescent="0.3">
      <c r="D957" s="6"/>
    </row>
    <row r="958" spans="4:4" ht="14.25" customHeight="1" x14ac:dyDescent="0.3">
      <c r="D958" s="6"/>
    </row>
    <row r="959" spans="4:4" ht="14.25" customHeight="1" x14ac:dyDescent="0.3">
      <c r="D959" s="6"/>
    </row>
    <row r="960" spans="4:4" ht="14.25" customHeight="1" x14ac:dyDescent="0.3">
      <c r="D960" s="6"/>
    </row>
    <row r="961" spans="4:4" ht="14.25" customHeight="1" x14ac:dyDescent="0.3">
      <c r="D961" s="6"/>
    </row>
    <row r="962" spans="4:4" ht="14.25" customHeight="1" x14ac:dyDescent="0.3">
      <c r="D962" s="6"/>
    </row>
    <row r="963" spans="4:4" ht="14.25" customHeight="1" x14ac:dyDescent="0.3">
      <c r="D963" s="6"/>
    </row>
    <row r="964" spans="4:4" ht="14.25" customHeight="1" x14ac:dyDescent="0.3">
      <c r="D964" s="6"/>
    </row>
    <row r="965" spans="4:4" ht="14.25" customHeight="1" x14ac:dyDescent="0.3">
      <c r="D965" s="6"/>
    </row>
    <row r="966" spans="4:4" ht="14.25" customHeight="1" x14ac:dyDescent="0.3">
      <c r="D966" s="6"/>
    </row>
    <row r="967" spans="4:4" ht="14.25" customHeight="1" x14ac:dyDescent="0.3">
      <c r="D967" s="6"/>
    </row>
    <row r="968" spans="4:4" ht="14.25" customHeight="1" x14ac:dyDescent="0.3">
      <c r="D968" s="6"/>
    </row>
    <row r="969" spans="4:4" ht="14.25" customHeight="1" x14ac:dyDescent="0.3">
      <c r="D969" s="6"/>
    </row>
    <row r="970" spans="4:4" ht="14.25" customHeight="1" x14ac:dyDescent="0.3">
      <c r="D970" s="6"/>
    </row>
    <row r="971" spans="4:4" ht="14.25" customHeight="1" x14ac:dyDescent="0.3">
      <c r="D971" s="6"/>
    </row>
    <row r="972" spans="4:4" ht="14.25" customHeight="1" x14ac:dyDescent="0.3">
      <c r="D972" s="6"/>
    </row>
    <row r="973" spans="4:4" ht="14.25" customHeight="1" x14ac:dyDescent="0.3">
      <c r="D973" s="6"/>
    </row>
    <row r="974" spans="4:4" ht="14.25" customHeight="1" x14ac:dyDescent="0.3">
      <c r="D974" s="6"/>
    </row>
    <row r="975" spans="4:4" ht="14.25" customHeight="1" x14ac:dyDescent="0.3">
      <c r="D975" s="6"/>
    </row>
    <row r="976" spans="4:4" ht="14.25" customHeight="1" x14ac:dyDescent="0.3">
      <c r="D976" s="6"/>
    </row>
    <row r="977" spans="4:4" ht="14.25" customHeight="1" x14ac:dyDescent="0.3">
      <c r="D977" s="6"/>
    </row>
    <row r="978" spans="4:4" ht="14.25" customHeight="1" x14ac:dyDescent="0.3">
      <c r="D978" s="6"/>
    </row>
    <row r="979" spans="4:4" ht="14.25" customHeight="1" x14ac:dyDescent="0.3">
      <c r="D979" s="6"/>
    </row>
    <row r="980" spans="4:4" ht="14.25" customHeight="1" x14ac:dyDescent="0.3">
      <c r="D980" s="6"/>
    </row>
    <row r="981" spans="4:4" ht="14.25" customHeight="1" x14ac:dyDescent="0.3">
      <c r="D981" s="6"/>
    </row>
    <row r="982" spans="4:4" ht="14.25" customHeight="1" x14ac:dyDescent="0.3">
      <c r="D982" s="6"/>
    </row>
    <row r="983" spans="4:4" ht="14.25" customHeight="1" x14ac:dyDescent="0.3">
      <c r="D983" s="6"/>
    </row>
    <row r="984" spans="4:4" ht="14.25" customHeight="1" x14ac:dyDescent="0.3">
      <c r="D984" s="6"/>
    </row>
    <row r="985" spans="4:4" ht="14.25" customHeight="1" x14ac:dyDescent="0.3">
      <c r="D985" s="6"/>
    </row>
    <row r="986" spans="4:4" ht="14.25" customHeight="1" x14ac:dyDescent="0.3">
      <c r="D986" s="6"/>
    </row>
    <row r="987" spans="4:4" ht="14.25" customHeight="1" x14ac:dyDescent="0.3">
      <c r="D987" s="6"/>
    </row>
    <row r="988" spans="4:4" ht="14.25" customHeight="1" x14ac:dyDescent="0.3">
      <c r="D988" s="6"/>
    </row>
    <row r="989" spans="4:4" ht="14.25" customHeight="1" x14ac:dyDescent="0.3">
      <c r="D989" s="6"/>
    </row>
    <row r="990" spans="4:4" ht="14.25" customHeight="1" x14ac:dyDescent="0.3">
      <c r="D990" s="6"/>
    </row>
    <row r="991" spans="4:4" ht="14.25" customHeight="1" x14ac:dyDescent="0.3">
      <c r="D991" s="6"/>
    </row>
    <row r="992" spans="4:4" ht="14.25" customHeight="1" x14ac:dyDescent="0.3">
      <c r="D992" s="6"/>
    </row>
    <row r="993" spans="4:4" ht="14.25" customHeight="1" x14ac:dyDescent="0.3">
      <c r="D993" s="6"/>
    </row>
    <row r="994" spans="4:4" ht="14.25" customHeight="1" x14ac:dyDescent="0.3">
      <c r="D994" s="6"/>
    </row>
    <row r="995" spans="4:4" ht="14.25" customHeight="1" x14ac:dyDescent="0.3">
      <c r="D995" s="6"/>
    </row>
    <row r="996" spans="4:4" ht="14.25" customHeight="1" x14ac:dyDescent="0.3">
      <c r="D996" s="6"/>
    </row>
    <row r="997" spans="4:4" ht="14.25" customHeight="1" x14ac:dyDescent="0.3">
      <c r="D997" s="6"/>
    </row>
    <row r="998" spans="4:4" ht="14.25" customHeight="1" x14ac:dyDescent="0.3">
      <c r="D998" s="6"/>
    </row>
    <row r="999" spans="4:4" ht="14.25" customHeight="1" x14ac:dyDescent="0.3">
      <c r="D999" s="6"/>
    </row>
    <row r="1000" spans="4:4" ht="14.25" customHeight="1" x14ac:dyDescent="0.3">
      <c r="D1000" s="6"/>
    </row>
  </sheetData>
  <dataValidations count="2">
    <dataValidation type="list" allowBlank="1" showErrorMessage="1" sqref="C2:C50" xr:uid="{00000000-0002-0000-0200-000000000000}">
      <formula1>Crédito</formula1>
    </dataValidation>
    <dataValidation type="list" allowBlank="1" showErrorMessage="1" sqref="B2:B50" xr:uid="{00000000-0002-0000-0200-000001000000}">
      <formula1>Débito</formula1>
    </dataValidation>
  </dataValidation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topLeftCell="A16" workbookViewId="0"/>
  </sheetViews>
  <sheetFormatPr defaultColWidth="14.44140625" defaultRowHeight="15" customHeight="1" x14ac:dyDescent="0.3"/>
  <cols>
    <col min="1" max="1" width="8.88671875" customWidth="1"/>
    <col min="2" max="2" width="27.88671875" customWidth="1"/>
    <col min="3" max="3" width="18" customWidth="1"/>
    <col min="4" max="4" width="15.33203125" customWidth="1"/>
    <col min="5" max="5" width="13.44140625" customWidth="1"/>
    <col min="6" max="6" width="27.88671875" customWidth="1"/>
    <col min="7" max="7" width="28.33203125" customWidth="1"/>
    <col min="8" max="26" width="8.6640625" customWidth="1"/>
  </cols>
  <sheetData>
    <row r="1" spans="1:9" ht="14.25" customHeight="1" x14ac:dyDescent="0.3">
      <c r="A1" s="16" t="s">
        <v>58</v>
      </c>
      <c r="B1" s="16" t="s">
        <v>59</v>
      </c>
      <c r="C1" s="16" t="s">
        <v>60</v>
      </c>
      <c r="D1" s="16" t="s">
        <v>20</v>
      </c>
      <c r="F1" s="16" t="s">
        <v>61</v>
      </c>
      <c r="G1" s="16" t="s">
        <v>62</v>
      </c>
    </row>
    <row r="2" spans="1:9" ht="14.25" customHeight="1" x14ac:dyDescent="0.3">
      <c r="A2" s="4" t="s">
        <v>63</v>
      </c>
      <c r="B2" s="4" t="s">
        <v>38</v>
      </c>
      <c r="C2" s="4" t="s">
        <v>64</v>
      </c>
      <c r="D2" s="4" t="s">
        <v>65</v>
      </c>
      <c r="F2" s="4" t="s">
        <v>38</v>
      </c>
      <c r="G2" s="4" t="s">
        <v>38</v>
      </c>
      <c r="I2" s="4" t="s">
        <v>64</v>
      </c>
    </row>
    <row r="3" spans="1:9" ht="14.25" customHeight="1" x14ac:dyDescent="0.3">
      <c r="A3" s="4" t="s">
        <v>66</v>
      </c>
      <c r="B3" s="4" t="s">
        <v>67</v>
      </c>
      <c r="C3" s="4" t="s">
        <v>64</v>
      </c>
      <c r="D3" s="4" t="s">
        <v>65</v>
      </c>
      <c r="F3" s="4" t="s">
        <v>67</v>
      </c>
      <c r="G3" s="4" t="s">
        <v>67</v>
      </c>
      <c r="I3" s="4" t="s">
        <v>68</v>
      </c>
    </row>
    <row r="4" spans="1:9" ht="14.25" customHeight="1" x14ac:dyDescent="0.3">
      <c r="A4" s="4" t="s">
        <v>69</v>
      </c>
      <c r="B4" s="4" t="s">
        <v>70</v>
      </c>
      <c r="C4" s="4" t="s">
        <v>64</v>
      </c>
      <c r="D4" s="4" t="s">
        <v>65</v>
      </c>
      <c r="F4" s="4" t="s">
        <v>70</v>
      </c>
      <c r="G4" s="4" t="s">
        <v>71</v>
      </c>
      <c r="I4" s="4" t="s">
        <v>72</v>
      </c>
    </row>
    <row r="5" spans="1:9" ht="14.25" customHeight="1" x14ac:dyDescent="0.3">
      <c r="A5" s="4" t="s">
        <v>73</v>
      </c>
      <c r="B5" s="4" t="s">
        <v>35</v>
      </c>
      <c r="C5" s="4" t="s">
        <v>64</v>
      </c>
      <c r="D5" s="4" t="s">
        <v>65</v>
      </c>
      <c r="F5" s="4" t="s">
        <v>35</v>
      </c>
      <c r="G5" s="4" t="s">
        <v>43</v>
      </c>
      <c r="I5" s="4" t="s">
        <v>74</v>
      </c>
    </row>
    <row r="6" spans="1:9" ht="14.25" customHeight="1" x14ac:dyDescent="0.3">
      <c r="A6" s="4" t="s">
        <v>75</v>
      </c>
      <c r="B6" s="4" t="s">
        <v>71</v>
      </c>
      <c r="C6" s="4" t="s">
        <v>68</v>
      </c>
      <c r="D6" s="4" t="s">
        <v>65</v>
      </c>
      <c r="F6" s="4" t="s">
        <v>43</v>
      </c>
      <c r="G6" s="4" t="s">
        <v>40</v>
      </c>
    </row>
    <row r="7" spans="1:9" ht="14.25" customHeight="1" x14ac:dyDescent="0.3">
      <c r="A7" s="4" t="s">
        <v>76</v>
      </c>
      <c r="B7" s="4" t="s">
        <v>43</v>
      </c>
      <c r="C7" s="4" t="s">
        <v>68</v>
      </c>
      <c r="D7" s="4" t="s">
        <v>65</v>
      </c>
      <c r="F7" s="4" t="s">
        <v>40</v>
      </c>
      <c r="G7" s="4" t="s">
        <v>36</v>
      </c>
    </row>
    <row r="8" spans="1:9" ht="14.25" customHeight="1" x14ac:dyDescent="0.3">
      <c r="A8" s="4" t="s">
        <v>77</v>
      </c>
      <c r="B8" s="4" t="s">
        <v>40</v>
      </c>
      <c r="C8" s="4" t="s">
        <v>68</v>
      </c>
      <c r="D8" s="4" t="s">
        <v>65</v>
      </c>
      <c r="F8" s="4" t="s">
        <v>47</v>
      </c>
      <c r="G8" s="4" t="s">
        <v>47</v>
      </c>
    </row>
    <row r="9" spans="1:9" ht="14.25" customHeight="1" x14ac:dyDescent="0.3">
      <c r="A9" s="4" t="s">
        <v>78</v>
      </c>
      <c r="B9" s="4" t="s">
        <v>36</v>
      </c>
      <c r="C9" s="4" t="s">
        <v>79</v>
      </c>
      <c r="D9" s="4" t="s">
        <v>80</v>
      </c>
      <c r="F9" s="4" t="s">
        <v>51</v>
      </c>
      <c r="G9" s="4" t="s">
        <v>51</v>
      </c>
    </row>
    <row r="10" spans="1:9" ht="14.25" customHeight="1" x14ac:dyDescent="0.3">
      <c r="A10" s="4" t="s">
        <v>81</v>
      </c>
      <c r="B10" s="4" t="s">
        <v>47</v>
      </c>
      <c r="C10" s="4" t="s">
        <v>79</v>
      </c>
      <c r="D10" s="4" t="s">
        <v>80</v>
      </c>
      <c r="F10" s="4" t="s">
        <v>82</v>
      </c>
      <c r="G10" s="4" t="s">
        <v>39</v>
      </c>
    </row>
    <row r="11" spans="1:9" ht="14.25" customHeight="1" x14ac:dyDescent="0.3">
      <c r="A11" s="4" t="s">
        <v>83</v>
      </c>
      <c r="B11" s="4" t="s">
        <v>51</v>
      </c>
      <c r="C11" s="4" t="s">
        <v>79</v>
      </c>
      <c r="D11" s="4" t="s">
        <v>80</v>
      </c>
      <c r="F11" s="4" t="s">
        <v>39</v>
      </c>
      <c r="G11" s="4" t="s">
        <v>82</v>
      </c>
    </row>
    <row r="12" spans="1:9" ht="14.25" customHeight="1" x14ac:dyDescent="0.3">
      <c r="A12" s="4" t="s">
        <v>84</v>
      </c>
      <c r="B12" s="4" t="s">
        <v>82</v>
      </c>
      <c r="C12" s="4" t="s">
        <v>79</v>
      </c>
      <c r="D12" s="4" t="s">
        <v>80</v>
      </c>
      <c r="F12" s="4" t="s">
        <v>85</v>
      </c>
      <c r="G12" s="4" t="s">
        <v>85</v>
      </c>
    </row>
    <row r="13" spans="1:9" ht="14.25" customHeight="1" x14ac:dyDescent="0.3">
      <c r="A13" s="4" t="s">
        <v>86</v>
      </c>
      <c r="B13" s="4" t="s">
        <v>39</v>
      </c>
      <c r="C13" s="4" t="s">
        <v>72</v>
      </c>
      <c r="D13" s="4" t="s">
        <v>87</v>
      </c>
      <c r="F13" s="4" t="s">
        <v>88</v>
      </c>
      <c r="G13" s="4" t="s">
        <v>88</v>
      </c>
    </row>
    <row r="14" spans="1:9" ht="14.25" customHeight="1" x14ac:dyDescent="0.3">
      <c r="A14" s="4" t="s">
        <v>89</v>
      </c>
      <c r="B14" s="4" t="s">
        <v>85</v>
      </c>
      <c r="C14" s="4" t="s">
        <v>74</v>
      </c>
      <c r="D14" s="4" t="s">
        <v>87</v>
      </c>
      <c r="F14" s="4" t="s">
        <v>42</v>
      </c>
      <c r="G14" s="4" t="s">
        <v>42</v>
      </c>
    </row>
    <row r="15" spans="1:9" ht="14.25" customHeight="1" x14ac:dyDescent="0.3">
      <c r="A15" s="4" t="s">
        <v>90</v>
      </c>
      <c r="B15" s="4" t="s">
        <v>88</v>
      </c>
      <c r="C15" s="4" t="s">
        <v>74</v>
      </c>
      <c r="D15" s="4" t="s">
        <v>87</v>
      </c>
    </row>
    <row r="16" spans="1:9" ht="14.25" customHeight="1" x14ac:dyDescent="0.3">
      <c r="A16" s="4" t="s">
        <v>91</v>
      </c>
      <c r="B16" s="4" t="s">
        <v>42</v>
      </c>
      <c r="C16" s="4" t="s">
        <v>74</v>
      </c>
      <c r="D16" s="4" t="s">
        <v>87</v>
      </c>
    </row>
    <row r="17" spans="1:6" ht="14.25" customHeight="1" x14ac:dyDescent="0.3"/>
    <row r="18" spans="1:6" ht="14.25" customHeight="1" x14ac:dyDescent="0.3">
      <c r="A18" s="16"/>
      <c r="B18" s="16" t="s">
        <v>92</v>
      </c>
      <c r="C18" s="16"/>
      <c r="D18" s="16"/>
      <c r="E18" s="16"/>
      <c r="F18" s="16"/>
    </row>
    <row r="19" spans="1:6" ht="14.25" customHeight="1" x14ac:dyDescent="0.3">
      <c r="A19" s="16" t="s">
        <v>58</v>
      </c>
      <c r="B19" s="19" t="s">
        <v>93</v>
      </c>
      <c r="C19" s="19" t="s">
        <v>60</v>
      </c>
      <c r="D19" s="19" t="s">
        <v>94</v>
      </c>
      <c r="E19" s="19" t="s">
        <v>95</v>
      </c>
      <c r="F19" s="19" t="s">
        <v>96</v>
      </c>
    </row>
    <row r="20" spans="1:6" ht="14.25" customHeight="1" x14ac:dyDescent="0.3">
      <c r="A20" s="4" t="s">
        <v>63</v>
      </c>
      <c r="B20" s="4" t="s">
        <v>38</v>
      </c>
      <c r="C20" s="4" t="s">
        <v>64</v>
      </c>
      <c r="D20" s="6">
        <f t="array" ref="D20">SUMPRODUCT(
  ('Lançamentos Contábeis'!$B$2:$B$999=B20) *
  ('Lançamentos Contábeis'!$A$2:$A$999&lt;=Configuração!$C$2) *
  ('Lançamentos Contábeis'!$D$2:$D$999)
)</f>
        <v>2663.6</v>
      </c>
      <c r="E20" s="6">
        <f t="array" ref="E20">SUMPRODUCT(
  ('Lançamentos Contábeis'!$C$2:$C$999=B20) *
  ('Lançamentos Contábeis'!$A$2:$A$999&lt;=Configuração!$C$2) *
  ('Lançamentos Contábeis'!$D$2:$D$999)
)</f>
        <v>1975.73</v>
      </c>
      <c r="F20" s="6">
        <f t="shared" ref="F20:F31" si="0">IF(C20="Ativo", D20 - E20, E20 - D20)</f>
        <v>687.86999999999989</v>
      </c>
    </row>
    <row r="21" spans="1:6" ht="14.25" customHeight="1" x14ac:dyDescent="0.3">
      <c r="A21" s="4" t="s">
        <v>66</v>
      </c>
      <c r="B21" s="4" t="s">
        <v>67</v>
      </c>
      <c r="C21" s="4" t="s">
        <v>64</v>
      </c>
      <c r="D21" s="6">
        <f t="array" ref="D21">SUMPRODUCT(
  ('Lançamentos Contábeis'!$B$2:$B$999=B21) *
  ('Lançamentos Contábeis'!$A$2:$A$999&lt;=Configuração!$C$2) *
  ('Lançamentos Contábeis'!$D$2:$D$999)
)</f>
        <v>0</v>
      </c>
      <c r="E21" s="6">
        <f t="array" ref="E21">SUMPRODUCT(
  ('Lançamentos Contábeis'!$C$2:$C$999=B21) *
  ('Lançamentos Contábeis'!$A$2:$A$999&lt;=Configuração!$C$2) *
  ('Lançamentos Contábeis'!$D$2:$D$999)
)</f>
        <v>0</v>
      </c>
      <c r="F21" s="6">
        <f t="shared" si="0"/>
        <v>0</v>
      </c>
    </row>
    <row r="22" spans="1:6" ht="14.25" customHeight="1" x14ac:dyDescent="0.3">
      <c r="A22" s="4" t="s">
        <v>69</v>
      </c>
      <c r="B22" s="4" t="s">
        <v>70</v>
      </c>
      <c r="C22" s="4" t="s">
        <v>64</v>
      </c>
      <c r="D22" s="6">
        <f t="array" ref="D22">SUMPRODUCT(
  ('Lançamentos Contábeis'!$B$2:$B$999=B22) *
  ('Lançamentos Contábeis'!$A$2:$A$999&lt;=Configuração!$C$2) *
  ('Lançamentos Contábeis'!$D$2:$D$999)
)</f>
        <v>0</v>
      </c>
      <c r="E22" s="6">
        <f t="array" ref="E22">SUMPRODUCT(
  ('Lançamentos Contábeis'!$C$2:$C$999=B22) *
  ('Lançamentos Contábeis'!$A$2:$A$999&lt;=Configuração!$C$2) *
  ('Lançamentos Contábeis'!$D$2:$D$999)
)</f>
        <v>0</v>
      </c>
      <c r="F22" s="6">
        <f t="shared" si="0"/>
        <v>0</v>
      </c>
    </row>
    <row r="23" spans="1:6" ht="14.25" customHeight="1" x14ac:dyDescent="0.3">
      <c r="A23" s="4" t="s">
        <v>73</v>
      </c>
      <c r="B23" s="4" t="s">
        <v>35</v>
      </c>
      <c r="C23" s="4" t="s">
        <v>64</v>
      </c>
      <c r="D23" s="6">
        <f t="array" ref="D23">SUMPRODUCT(
  ('Lançamentos Contábeis'!$B$2:$B$999=B23) *
  ('Lançamentos Contábeis'!$A$2:$A$999&lt;=Configuração!$C$2) *
  ('Lançamentos Contábeis'!$D$2:$D$999)
)</f>
        <v>2000</v>
      </c>
      <c r="E23" s="6">
        <f t="array" ref="E23">SUMPRODUCT(
  ('Lançamentos Contábeis'!$C$2:$C$999=B23) *
  ('Lançamentos Contábeis'!$A$2:$A$999&lt;=Configuração!$C$2) *
  ('Lançamentos Contábeis'!$D$2:$D$999)
)</f>
        <v>0</v>
      </c>
      <c r="F23" s="6">
        <f t="shared" si="0"/>
        <v>2000</v>
      </c>
    </row>
    <row r="24" spans="1:6" ht="14.25" customHeight="1" x14ac:dyDescent="0.3">
      <c r="A24" s="4" t="s">
        <v>75</v>
      </c>
      <c r="B24" s="4" t="s">
        <v>71</v>
      </c>
      <c r="C24" s="4" t="s">
        <v>68</v>
      </c>
      <c r="D24" s="6">
        <f t="array" ref="D24">SUMPRODUCT(
  ('Lançamentos Contábeis'!$B$2:$B$999=B24) *
  ('Lançamentos Contábeis'!$A$2:$A$999&lt;=Configuração!$C$2) *
  ('Lançamentos Contábeis'!$D$2:$D$999)
)</f>
        <v>0</v>
      </c>
      <c r="E24" s="6">
        <f t="array" ref="E24">SUMPRODUCT(
  ('Lançamentos Contábeis'!$C$2:$C$999=B24) *
  ('Lançamentos Contábeis'!$A$2:$A$999&lt;=Configuração!$C$2) *
  ('Lançamentos Contábeis'!$D$2:$D$999)
)</f>
        <v>0</v>
      </c>
      <c r="F24" s="6">
        <f t="shared" si="0"/>
        <v>0</v>
      </c>
    </row>
    <row r="25" spans="1:6" ht="14.25" customHeight="1" x14ac:dyDescent="0.3">
      <c r="A25" s="4" t="s">
        <v>76</v>
      </c>
      <c r="B25" s="4" t="s">
        <v>43</v>
      </c>
      <c r="C25" s="4" t="s">
        <v>68</v>
      </c>
      <c r="D25" s="6">
        <f t="array" ref="D25">SUMPRODUCT(
  ('Lançamentos Contábeis'!$B$2:$B$999=B25) *
  ('Lançamentos Contábeis'!$A$2:$A$999&lt;=Configuração!$C$2) *
  ('Lançamentos Contábeis'!$D$2:$D$999)
)</f>
        <v>438.85</v>
      </c>
      <c r="E25" s="6">
        <f t="array" ref="E25">SUMPRODUCT(
  ('Lançamentos Contábeis'!$C$2:$C$999=B25) *
  ('Lançamentos Contábeis'!$A$2:$A$999&lt;=Configuração!$C$2) *
  ('Lançamentos Contábeis'!$D$2:$D$999)
)</f>
        <v>438.85</v>
      </c>
      <c r="F25" s="6">
        <f t="shared" si="0"/>
        <v>0</v>
      </c>
    </row>
    <row r="26" spans="1:6" ht="14.25" customHeight="1" x14ac:dyDescent="0.3">
      <c r="A26" s="4" t="s">
        <v>77</v>
      </c>
      <c r="B26" s="4" t="s">
        <v>40</v>
      </c>
      <c r="C26" s="4" t="s">
        <v>68</v>
      </c>
      <c r="D26" s="6">
        <f t="array" ref="D26">SUMPRODUCT(
  ('Lançamentos Contábeis'!$B$2:$B$999=B26) *
  ('Lançamentos Contábeis'!$A$2:$A$999&lt;=Configuração!$C$2) *
  ('Lançamentos Contábeis'!$D$2:$D$999)
)</f>
        <v>980.87999999999988</v>
      </c>
      <c r="E26" s="6">
        <f t="array" ref="E26">SUMPRODUCT(
  ('Lançamentos Contábeis'!$C$2:$C$999=B26) *
  ('Lançamentos Contábeis'!$A$2:$A$999&lt;=Configuração!$C$2) *
  ('Lançamentos Contábeis'!$D$2:$D$999)
)</f>
        <v>980.87999999999988</v>
      </c>
      <c r="F26" s="6">
        <f t="shared" si="0"/>
        <v>0</v>
      </c>
    </row>
    <row r="27" spans="1:6" ht="14.25" customHeight="1" x14ac:dyDescent="0.3">
      <c r="A27" s="4" t="s">
        <v>78</v>
      </c>
      <c r="B27" s="4" t="s">
        <v>36</v>
      </c>
      <c r="C27" s="4" t="s">
        <v>79</v>
      </c>
      <c r="D27" s="6">
        <f t="array" ref="D27">SUMPRODUCT(
  ('Lançamentos Contábeis'!$B$2:$B$999=B27) *
  ('Lançamentos Contábeis'!$A$2:$A$999&lt;=Configuração!$C$2) *
  ('Lançamentos Contábeis'!$D$2:$D$999)
)</f>
        <v>0</v>
      </c>
      <c r="E27" s="6">
        <f t="array" ref="E27">SUMPRODUCT(
  ('Lançamentos Contábeis'!$C$2:$C$999=B27) *
  ('Lançamentos Contábeis'!$A$2:$A$999&lt;=Configuração!$C$2) *
  ('Lançamentos Contábeis'!$D$2:$D$999)
)</f>
        <v>2400</v>
      </c>
      <c r="F27" s="6">
        <f t="shared" si="0"/>
        <v>2400</v>
      </c>
    </row>
    <row r="28" spans="1:6" ht="14.25" customHeight="1" x14ac:dyDescent="0.3">
      <c r="A28" s="4" t="s">
        <v>81</v>
      </c>
      <c r="B28" s="4" t="s">
        <v>47</v>
      </c>
      <c r="C28" s="4" t="s">
        <v>79</v>
      </c>
      <c r="D28" s="6">
        <f t="array" ref="D28">SUMPRODUCT(
  ('Lançamentos Contábeis'!$B$2:$B$999=B28) *
  ('Lançamentos Contábeis'!$A$2:$A$999&lt;=Configuração!$C$2) *
  ('Lançamentos Contábeis'!$D$2:$D$999)
)</f>
        <v>1724.72</v>
      </c>
      <c r="E28" s="6">
        <f t="array" ref="E28">SUMPRODUCT(
  ('Lançamentos Contábeis'!$C$2:$C$999=B28) *
  ('Lançamentos Contábeis'!$A$2:$A$999&lt;=Configuração!$C$2) *
  ('Lançamentos Contábeis'!$D$2:$D$999)
)</f>
        <v>1824.72</v>
      </c>
      <c r="F28" s="6">
        <f t="shared" si="0"/>
        <v>100</v>
      </c>
    </row>
    <row r="29" spans="1:6" ht="14.25" customHeight="1" x14ac:dyDescent="0.3">
      <c r="A29" s="4" t="s">
        <v>83</v>
      </c>
      <c r="B29" s="4" t="s">
        <v>51</v>
      </c>
      <c r="C29" s="4" t="s">
        <v>79</v>
      </c>
      <c r="D29" s="6">
        <f t="array" ref="D29">SUMPRODUCT(
  ('Lançamentos Contábeis'!$B$2:$B$999=B29) *
  ('Lançamentos Contábeis'!$A$2:$A$999&lt;=Configuração!$C$2) *
  ('Lançamentos Contábeis'!$D$2:$D$999)
)</f>
        <v>0</v>
      </c>
      <c r="E29" s="6">
        <f t="array" ref="E29">SUMPRODUCT(
  ('Lançamentos Contábeis'!$C$2:$C$999=B29) *
  ('Lançamentos Contábeis'!$A$2:$A$999&lt;=Configuração!$C$2) *
  ('Lançamentos Contábeis'!$D$2:$D$999)
)</f>
        <v>187.84</v>
      </c>
      <c r="F29" s="6">
        <f t="shared" si="0"/>
        <v>187.84</v>
      </c>
    </row>
    <row r="30" spans="1:6" ht="14.25" customHeight="1" x14ac:dyDescent="0.3">
      <c r="A30" s="4" t="s">
        <v>84</v>
      </c>
      <c r="B30" s="4" t="s">
        <v>82</v>
      </c>
      <c r="C30" s="4" t="s">
        <v>79</v>
      </c>
      <c r="D30" s="6">
        <f t="array" ref="D30">SUMPRODUCT(
  ('Lançamentos Contábeis'!$B$2:$B$999=B30) *
  ('Lançamentos Contábeis'!$A$2:$A$999&lt;=Configuração!$C$2) *
  ('Lançamentos Contábeis'!$D$2:$D$999)
)</f>
        <v>0</v>
      </c>
      <c r="E30" s="6">
        <f t="array" ref="E30">SUMPRODUCT(
  ('Lançamentos Contábeis'!$C$2:$C$999=B30) *
  ('Lançamentos Contábeis'!$A$2:$A$999&lt;=Configuração!$C$2) *
  ('Lançamentos Contábeis'!$D$2:$D$999)
)</f>
        <v>0</v>
      </c>
      <c r="F30" s="6">
        <f t="shared" si="0"/>
        <v>0</v>
      </c>
    </row>
    <row r="31" spans="1:6" ht="14.25" customHeight="1" x14ac:dyDescent="0.3">
      <c r="A31" s="4" t="s">
        <v>86</v>
      </c>
      <c r="B31" s="4" t="s">
        <v>39</v>
      </c>
      <c r="C31" s="4" t="s">
        <v>72</v>
      </c>
      <c r="D31" s="6">
        <f t="array" ref="D31">SUMPRODUCT(--('Lançamentos Contábeis'!$B$2:$B$999=B31), --('Lançamentos Contábeis'!$A$2:$A$999&gt;=Configuração!$C$1), --('Lançamentos Contábeis'!$A$2:$A$999&lt;=Configuração!$C$2), 'Lançamentos Contábeis'!$D$2:$D$999)</f>
        <v>100</v>
      </c>
      <c r="E31" s="6">
        <f t="array" ref="E31">SUMPRODUCT(--('Lançamentos Contábeis'!$C$2:$C$999=B31), --('Lançamentos Contábeis'!$A$2:$A$999&gt;=Configuração!$C$1), --('Lançamentos Contábeis'!$A$2:$A$999&lt;=Configuração!$C$2), 'Lançamentos Contábeis'!$D$2:$D$999)</f>
        <v>100</v>
      </c>
      <c r="F31" s="6">
        <f t="shared" si="0"/>
        <v>0</v>
      </c>
    </row>
    <row r="32" spans="1:6" ht="14.25" customHeight="1" x14ac:dyDescent="0.3">
      <c r="A32" s="4" t="s">
        <v>89</v>
      </c>
      <c r="B32" s="4" t="s">
        <v>85</v>
      </c>
      <c r="C32" s="4" t="s">
        <v>74</v>
      </c>
      <c r="D32" s="6">
        <f t="array" ref="D32">SUMPRODUCT(--('Lançamentos Contábeis'!$B$2:$B$999=B32), --('Lançamentos Contábeis'!$A$2:$A$999&gt;=Configuração!$C$1), --('Lançamentos Contábeis'!$A$2:$A$999&lt;=Configuração!$C$2), 'Lançamentos Contábeis'!$D$2:$D$999)</f>
        <v>0</v>
      </c>
      <c r="E32" s="6">
        <f t="array" ref="E32">SUMPRODUCT(--('Lançamentos Contábeis'!$C$2:$C$999=B32), --('Lançamentos Contábeis'!$A$2:$A$999&gt;=Configuração!$C$1), --('Lançamentos Contábeis'!$A$2:$A$999&lt;=Configuração!$C$2), 'Lançamentos Contábeis'!$D$2:$D$999)</f>
        <v>0</v>
      </c>
      <c r="F32" s="6">
        <f t="shared" ref="F32:F34" si="1">IF(C32="Despesa", D32 - E32, E32 - D32)</f>
        <v>0</v>
      </c>
    </row>
    <row r="33" spans="1:6" ht="14.25" customHeight="1" x14ac:dyDescent="0.3">
      <c r="A33" s="4" t="s">
        <v>90</v>
      </c>
      <c r="B33" s="4" t="s">
        <v>88</v>
      </c>
      <c r="C33" s="4" t="s">
        <v>74</v>
      </c>
      <c r="D33" s="6">
        <f t="array" ref="D33">SUMPRODUCT(--('Lançamentos Contábeis'!$B$2:$B$999=B33), --('Lançamentos Contábeis'!$A$2:$A$999&gt;=Configuração!$C$1), --('Lançamentos Contábeis'!$A$2:$A$999&lt;=Configuração!$C$2), 'Lançamentos Contábeis'!$D$2:$D$999)</f>
        <v>0</v>
      </c>
      <c r="E33" s="6">
        <f t="array" ref="E33">SUMPRODUCT(--('Lançamentos Contábeis'!$C$2:$C$999=B33), --('Lançamentos Contábeis'!$A$2:$A$999&gt;=Configuração!$C$1), --('Lançamentos Contábeis'!$A$2:$A$999&lt;=Configuração!$C$2), 'Lançamentos Contábeis'!$D$2:$D$999)</f>
        <v>0</v>
      </c>
      <c r="F33" s="6">
        <f t="shared" si="1"/>
        <v>0</v>
      </c>
    </row>
    <row r="34" spans="1:6" ht="14.25" customHeight="1" x14ac:dyDescent="0.3">
      <c r="A34" s="4" t="s">
        <v>91</v>
      </c>
      <c r="B34" s="4" t="s">
        <v>42</v>
      </c>
      <c r="C34" s="4" t="s">
        <v>74</v>
      </c>
      <c r="D34" s="6">
        <f t="array" ref="D34">SUMPRODUCT(--('Lançamentos Contábeis'!$B$2:$B$999=B34), --('Lançamentos Contábeis'!$A$2:$A$999&gt;=Configuração!$C$1), --('Lançamentos Contábeis'!$A$2:$A$999&lt;=Configuração!$C$2), 'Lançamentos Contábeis'!$D$2:$D$999)</f>
        <v>0</v>
      </c>
      <c r="E34" s="6">
        <f t="array" ref="E34">SUMPRODUCT(--('Lançamentos Contábeis'!$C$2:$C$999=B34), --('Lançamentos Contábeis'!$A$2:$A$999&gt;=Configuração!$C$1), --('Lançamentos Contábeis'!$A$2:$A$999&lt;=Configuração!$C$2), 'Lançamentos Contábeis'!$D$2:$D$999)</f>
        <v>0</v>
      </c>
      <c r="F34" s="6">
        <f t="shared" si="1"/>
        <v>0</v>
      </c>
    </row>
    <row r="35" spans="1:6" ht="14.25" customHeight="1" x14ac:dyDescent="0.3">
      <c r="D35" s="6"/>
      <c r="E35" s="6"/>
      <c r="F35" s="6"/>
    </row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4140625" defaultRowHeight="15" customHeight="1" x14ac:dyDescent="0.3"/>
  <cols>
    <col min="1" max="1" width="16.6640625" customWidth="1"/>
    <col min="2" max="2" width="28.109375" customWidth="1"/>
    <col min="3" max="3" width="15.33203125" customWidth="1"/>
    <col min="4" max="26" width="8.6640625" customWidth="1"/>
  </cols>
  <sheetData>
    <row r="1" spans="1:3" ht="14.25" customHeight="1" x14ac:dyDescent="0.3">
      <c r="A1" s="20" t="s">
        <v>97</v>
      </c>
      <c r="B1" s="20" t="s">
        <v>93</v>
      </c>
      <c r="C1" s="20" t="s">
        <v>96</v>
      </c>
    </row>
    <row r="2" spans="1:3" ht="14.25" customHeight="1" x14ac:dyDescent="0.3">
      <c r="A2" s="21" t="s">
        <v>64</v>
      </c>
      <c r="B2" s="21" t="s">
        <v>38</v>
      </c>
      <c r="C2" s="22">
        <f>VLOOKUP("Caixa e Bancos", 'Plano de Contas'!$B$20:$F$101, 5, FALSE)</f>
        <v>687.86999999999989</v>
      </c>
    </row>
    <row r="3" spans="1:3" ht="14.25" customHeight="1" x14ac:dyDescent="0.3">
      <c r="A3" s="21"/>
      <c r="B3" s="21" t="s">
        <v>67</v>
      </c>
      <c r="C3" s="22">
        <f>VLOOKUP("Clientes (honorários a receber)", 'Plano de Contas'!$B$20:$F$101, 5, FALSE)</f>
        <v>0</v>
      </c>
    </row>
    <row r="4" spans="1:3" ht="14.25" customHeight="1" x14ac:dyDescent="0.3">
      <c r="A4" s="21"/>
      <c r="B4" s="21" t="s">
        <v>70</v>
      </c>
      <c r="C4" s="22">
        <f>VLOOKUP("Adiantamentos a sócios", 'Plano de Contas'!$B$20:$F$101, 5, FALSE)</f>
        <v>0</v>
      </c>
    </row>
    <row r="5" spans="1:3" ht="14.25" customHeight="1" x14ac:dyDescent="0.3">
      <c r="A5" s="21"/>
      <c r="B5" s="23" t="s">
        <v>35</v>
      </c>
      <c r="C5" s="22">
        <f>VLOOKUP("Equipamentos / Móveis", 'Plano de Contas'!$B$20:$F$101, 5, FALSE)</f>
        <v>2000</v>
      </c>
    </row>
    <row r="6" spans="1:3" ht="14.25" customHeight="1" x14ac:dyDescent="0.3">
      <c r="A6" s="21" t="s">
        <v>98</v>
      </c>
      <c r="B6" s="21"/>
      <c r="C6" s="22">
        <f>SUM(C2:C5)</f>
        <v>2687.87</v>
      </c>
    </row>
    <row r="7" spans="1:3" ht="14.25" customHeight="1" x14ac:dyDescent="0.3">
      <c r="A7" s="24" t="s">
        <v>68</v>
      </c>
      <c r="B7" s="24" t="s">
        <v>71</v>
      </c>
      <c r="C7" s="25">
        <f>VLOOKUP("Fornecedores / Contas a pagar", 'Plano de Contas'!$B$20:$F$101, 5, FALSE)</f>
        <v>0</v>
      </c>
    </row>
    <row r="8" spans="1:3" ht="14.25" customHeight="1" x14ac:dyDescent="0.3">
      <c r="A8" s="24"/>
      <c r="B8" s="24" t="s">
        <v>43</v>
      </c>
      <c r="C8" s="25">
        <f>VLOOKUP("Obrigações Fiscais (Simples, INSS)", 'Plano de Contas'!$B$20:$F$101, 5, FALSE)</f>
        <v>0</v>
      </c>
    </row>
    <row r="9" spans="1:3" ht="14.25" customHeight="1" x14ac:dyDescent="0.3">
      <c r="A9" s="24"/>
      <c r="B9" s="26" t="s">
        <v>40</v>
      </c>
      <c r="C9" s="25">
        <f>VLOOKUP("Pró-labore", 'Plano de Contas'!$B$20:$F$101, 5, FALSE)</f>
        <v>0</v>
      </c>
    </row>
    <row r="10" spans="1:3" ht="14.25" customHeight="1" x14ac:dyDescent="0.3">
      <c r="A10" s="24" t="s">
        <v>99</v>
      </c>
      <c r="B10" s="24"/>
      <c r="C10" s="25">
        <f>SUM(C7:C9)</f>
        <v>0</v>
      </c>
    </row>
    <row r="11" spans="1:3" ht="14.25" customHeight="1" x14ac:dyDescent="0.3">
      <c r="A11" s="27" t="s">
        <v>79</v>
      </c>
      <c r="B11" s="27" t="s">
        <v>36</v>
      </c>
      <c r="C11" s="28">
        <f>VLOOKUP("Capital Social", 'Plano de Contas'!$B$20:$F$101, 5, FALSE)</f>
        <v>2400</v>
      </c>
    </row>
    <row r="12" spans="1:3" ht="14.25" customHeight="1" x14ac:dyDescent="0.3">
      <c r="A12" s="27"/>
      <c r="B12" s="27" t="s">
        <v>47</v>
      </c>
      <c r="C12" s="28">
        <f>VLOOKUP("Reserva de Lucros", 'Plano de Contas'!$B$20:$F$101, 5, FALSE)</f>
        <v>100</v>
      </c>
    </row>
    <row r="13" spans="1:3" ht="14.25" customHeight="1" x14ac:dyDescent="0.3">
      <c r="A13" s="27"/>
      <c r="B13" s="27" t="s">
        <v>51</v>
      </c>
      <c r="C13" s="28">
        <f>VLOOKUP("Fundo de Reserva", 'Plano de Contas'!$B$20:$F$101, 5, FALSE)</f>
        <v>187.84</v>
      </c>
    </row>
    <row r="14" spans="1:3" ht="14.25" customHeight="1" x14ac:dyDescent="0.3">
      <c r="A14" s="27"/>
      <c r="B14" s="27" t="s">
        <v>82</v>
      </c>
      <c r="C14" s="28">
        <f>VLOOKUP("Lucros Distribuídos", 'Plano de Contas'!$B$20:$F$101, 5, FALSE)</f>
        <v>0</v>
      </c>
    </row>
    <row r="15" spans="1:3" ht="14.25" customHeight="1" x14ac:dyDescent="0.3">
      <c r="A15" s="29" t="s">
        <v>100</v>
      </c>
      <c r="B15" s="29"/>
      <c r="C15" s="30">
        <f>SUM(C11:C14)-(C10)</f>
        <v>2687.84</v>
      </c>
    </row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>
      <selection activeCell="A18" sqref="A18"/>
    </sheetView>
  </sheetViews>
  <sheetFormatPr defaultColWidth="14.44140625" defaultRowHeight="15" customHeight="1" x14ac:dyDescent="0.3"/>
  <cols>
    <col min="1" max="1" width="13.6640625" customWidth="1"/>
    <col min="2" max="5" width="15" customWidth="1"/>
    <col min="6" max="6" width="17" customWidth="1"/>
    <col min="7" max="7" width="13.6640625" customWidth="1"/>
    <col min="8" max="8" width="17.33203125" customWidth="1"/>
    <col min="9" max="9" width="21.33203125" customWidth="1"/>
    <col min="10" max="10" width="13.109375" customWidth="1"/>
    <col min="11" max="26" width="8.6640625" customWidth="1"/>
  </cols>
  <sheetData>
    <row r="1" spans="1:10" ht="14.25" customHeight="1" x14ac:dyDescent="0.3">
      <c r="A1" s="31" t="s">
        <v>101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4.25" customHeight="1" x14ac:dyDescent="0.3">
      <c r="A2" s="1" t="s">
        <v>16</v>
      </c>
      <c r="B2" s="1" t="s">
        <v>102</v>
      </c>
      <c r="C2" s="1" t="s">
        <v>20</v>
      </c>
      <c r="D2" s="1" t="s">
        <v>103</v>
      </c>
      <c r="E2" s="12" t="s">
        <v>104</v>
      </c>
      <c r="F2" s="12" t="s">
        <v>105</v>
      </c>
      <c r="G2" s="12" t="s">
        <v>106</v>
      </c>
      <c r="H2" s="1" t="s">
        <v>107</v>
      </c>
      <c r="I2" s="1" t="s">
        <v>108</v>
      </c>
      <c r="J2" s="32" t="s">
        <v>30</v>
      </c>
    </row>
    <row r="3" spans="1:10" ht="14.25" customHeight="1" x14ac:dyDescent="0.3">
      <c r="A3" s="33">
        <v>45658</v>
      </c>
      <c r="B3" s="4" t="s">
        <v>3</v>
      </c>
      <c r="C3" s="4" t="s">
        <v>109</v>
      </c>
      <c r="D3" s="6">
        <f t="array" aca="1" ref="D3" ca="1">MIN(1518,
  SUMPRODUCT(
    (MONTH('Lucros Disponíveis'!$A$2:$A$1000)=MONTH(A3)) *
    (YEAR('Lucros Disponíveis'!$A$2:$A$1000)=YEAR(A3)) *
    ('Lucros Disponíveis'!$B$2:$B$1000 + 'Lucros Disponíveis'!$D$2:$D$1000)
  )
)</f>
        <v>0</v>
      </c>
      <c r="E3" s="6">
        <f t="shared" ref="E3:E14" ca="1" si="0">IF(D3="", "", D3*11%)</f>
        <v>0</v>
      </c>
      <c r="F3" s="6">
        <f t="shared" ref="F3:F14" ca="1" si="1">IF(D3="", "", D3*20%)</f>
        <v>0</v>
      </c>
      <c r="G3" s="6"/>
      <c r="H3" s="6">
        <f t="shared" ref="H3:H14" ca="1" si="2">IF(D3="", "", D3 -E3)</f>
        <v>0</v>
      </c>
      <c r="I3" s="6">
        <f ca="1">IF(
  ('Lucros Disponíveis'!B2 + 'Lucros Disponíveis'!D2 &gt; D3),
  ('Lucros Disponíveis'!B2 + 'Lucros Disponíveis'!D2 - D3),
  H3
)</f>
        <v>0</v>
      </c>
      <c r="J3" s="6">
        <f t="shared" ref="J3:J14" ca="1" si="3">IF(I3=H3, H3, H3+I3)</f>
        <v>0</v>
      </c>
    </row>
    <row r="4" spans="1:10" ht="14.25" customHeight="1" x14ac:dyDescent="0.3">
      <c r="A4" s="33">
        <v>45689</v>
      </c>
      <c r="B4" s="4" t="s">
        <v>3</v>
      </c>
      <c r="C4" s="4" t="s">
        <v>109</v>
      </c>
      <c r="D4" s="6">
        <f t="array" aca="1" ref="D4" ca="1">MIN(1518,
  SUMPRODUCT(
    (MONTH('Lucros Disponíveis'!$A$2:$A$1000)=MONTH(A4)) *
    (YEAR('Lucros Disponíveis'!$A$2:$A$1000)=YEAR(A4)) *
    ('Lucros Disponíveis'!$B$2:$B$1000 + 'Lucros Disponíveis'!$D$2:$D$1000)
  )
)</f>
        <v>0</v>
      </c>
      <c r="E4" s="6">
        <f t="shared" ca="1" si="0"/>
        <v>0</v>
      </c>
      <c r="F4" s="6">
        <f t="shared" ca="1" si="1"/>
        <v>0</v>
      </c>
      <c r="G4" s="6"/>
      <c r="H4" s="6">
        <f t="shared" ca="1" si="2"/>
        <v>0</v>
      </c>
      <c r="I4" s="6">
        <f ca="1">IF(
  ('Lucros Disponíveis'!B3 + 'Lucros Disponíveis'!D3 &gt; D4),
  ('Lucros Disponíveis'!B3 + 'Lucros Disponíveis'!D3 - D4),
  H4
)</f>
        <v>0</v>
      </c>
      <c r="J4" s="6">
        <f t="shared" ca="1" si="3"/>
        <v>0</v>
      </c>
    </row>
    <row r="5" spans="1:10" ht="14.25" customHeight="1" x14ac:dyDescent="0.3">
      <c r="A5" s="33">
        <v>45717</v>
      </c>
      <c r="B5" s="4" t="s">
        <v>3</v>
      </c>
      <c r="C5" s="4" t="s">
        <v>109</v>
      </c>
      <c r="D5" s="6">
        <f t="array" aca="1" ref="D5" ca="1">MIN(1518,
  SUMPRODUCT(
    (MONTH('Lucros Disponíveis'!$A$2:$A$1000)=MONTH(A5)) *
    (YEAR('Lucros Disponíveis'!$A$2:$A$1000)=YEAR(A5)) *
    ('Lucros Disponíveis'!$B$2:$B$1000 + 'Lucros Disponíveis'!$D$2:$D$1000)
  )
)</f>
        <v>0</v>
      </c>
      <c r="E5" s="6">
        <f t="shared" ca="1" si="0"/>
        <v>0</v>
      </c>
      <c r="F5" s="6">
        <f t="shared" ca="1" si="1"/>
        <v>0</v>
      </c>
      <c r="G5" s="6"/>
      <c r="H5" s="6">
        <f t="shared" ca="1" si="2"/>
        <v>0</v>
      </c>
      <c r="I5" s="6">
        <f ca="1">IF(
  ('Lucros Disponíveis'!B4 + 'Lucros Disponíveis'!D4 &gt; D5),
  ('Lucros Disponíveis'!B4 + 'Lucros Disponíveis'!D4 - D5),
  H5
)</f>
        <v>0</v>
      </c>
      <c r="J5" s="6">
        <f t="shared" ca="1" si="3"/>
        <v>0</v>
      </c>
    </row>
    <row r="6" spans="1:10" ht="14.25" customHeight="1" x14ac:dyDescent="0.3">
      <c r="A6" s="33">
        <v>45748</v>
      </c>
      <c r="B6" s="4" t="s">
        <v>3</v>
      </c>
      <c r="C6" s="4" t="s">
        <v>109</v>
      </c>
      <c r="D6" s="6">
        <f t="array" aca="1" ref="D6" ca="1">MIN(1518,
  SUMPRODUCT(
    (MONTH('Lucros Disponíveis'!$A$2:$A$1000)=MONTH(A6)) *
    (YEAR('Lucros Disponíveis'!$A$2:$A$1000)=YEAR(A6)) *
    ('Lucros Disponíveis'!$B$2:$B$1000 + 'Lucros Disponíveis'!$D$2:$D$1000)
  )
)</f>
        <v>0</v>
      </c>
      <c r="E6" s="6">
        <f t="shared" ca="1" si="0"/>
        <v>0</v>
      </c>
      <c r="F6" s="6">
        <f t="shared" ca="1" si="1"/>
        <v>0</v>
      </c>
      <c r="G6" s="6"/>
      <c r="H6" s="6">
        <f t="shared" ca="1" si="2"/>
        <v>0</v>
      </c>
      <c r="I6" s="6">
        <f ca="1">IF(
  ('Lucros Disponíveis'!B5 + 'Lucros Disponíveis'!D5 &gt; D6),
  ('Lucros Disponíveis'!B5 + 'Lucros Disponíveis'!D5 - D6),
  H6
)</f>
        <v>0</v>
      </c>
      <c r="J6" s="6">
        <f t="shared" ca="1" si="3"/>
        <v>0</v>
      </c>
    </row>
    <row r="7" spans="1:10" ht="14.25" customHeight="1" x14ac:dyDescent="0.3">
      <c r="A7" s="33">
        <v>45778</v>
      </c>
      <c r="B7" s="4" t="s">
        <v>3</v>
      </c>
      <c r="C7" s="4" t="s">
        <v>109</v>
      </c>
      <c r="D7" s="6">
        <f t="array" aca="1" ref="D7" ca="1">MIN(1518,
  SUMPRODUCT(
    (MONTH('Lucros Disponíveis'!$A$2:$A$1000)=MONTH(A7)) *
    (YEAR('Lucros Disponíveis'!$A$2:$A$1000)=YEAR(A7)) *
    ('Lucros Disponíveis'!$B$2:$B$1000 + 'Lucros Disponíveis'!$D$2:$D$1000)
  )
)</f>
        <v>0</v>
      </c>
      <c r="E7" s="6">
        <f t="shared" ca="1" si="0"/>
        <v>0</v>
      </c>
      <c r="F7" s="6">
        <f t="shared" ca="1" si="1"/>
        <v>0</v>
      </c>
      <c r="G7" s="6"/>
      <c r="H7" s="6">
        <f t="shared" ca="1" si="2"/>
        <v>0</v>
      </c>
      <c r="I7" s="6">
        <f ca="1">IF(
  ('Lucros Disponíveis'!B6 + 'Lucros Disponíveis'!D6 &gt; D7),
  ('Lucros Disponíveis'!B6 + 'Lucros Disponíveis'!D6 - D7),
  H7
)</f>
        <v>0</v>
      </c>
      <c r="J7" s="6">
        <f t="shared" ca="1" si="3"/>
        <v>0</v>
      </c>
    </row>
    <row r="8" spans="1:10" ht="14.25" customHeight="1" x14ac:dyDescent="0.3">
      <c r="A8" s="33">
        <v>45809</v>
      </c>
      <c r="B8" s="4" t="s">
        <v>3</v>
      </c>
      <c r="C8" s="4" t="s">
        <v>109</v>
      </c>
      <c r="D8" s="6">
        <f t="array" aca="1" ref="D8" ca="1">MIN(1518,
  SUMPRODUCT(
    (MONTH('Lucros Disponíveis'!$A$2:$A$1000)=MONTH(A8)) *
    (YEAR('Lucros Disponíveis'!$A$2:$A$1000)=YEAR(A8)) *
    ('Lucros Disponíveis'!$B$2:$B$1000 + 'Lucros Disponíveis'!$D$2:$D$1000)
  )
)</f>
        <v>621.40410958904113</v>
      </c>
      <c r="E8" s="6">
        <f t="shared" ca="1" si="0"/>
        <v>68.354452054794521</v>
      </c>
      <c r="F8" s="6">
        <f t="shared" ca="1" si="1"/>
        <v>124.28082191780823</v>
      </c>
      <c r="G8" s="6"/>
      <c r="H8" s="6">
        <f t="shared" ca="1" si="2"/>
        <v>553.04965753424665</v>
      </c>
      <c r="I8" s="6">
        <f ca="1">IF(
  ('Lucros Disponíveis'!B7 + 'Lucros Disponíveis'!D7 &gt; D8),
  ('Lucros Disponíveis'!B7 + 'Lucros Disponíveis'!D7 - D8),
  H8
)</f>
        <v>553.04965753424665</v>
      </c>
      <c r="J8" s="6">
        <f t="shared" ca="1" si="3"/>
        <v>553.04965753424665</v>
      </c>
    </row>
    <row r="9" spans="1:10" ht="14.25" customHeight="1" x14ac:dyDescent="0.3">
      <c r="A9" s="33">
        <v>45839</v>
      </c>
      <c r="B9" s="4" t="s">
        <v>3</v>
      </c>
      <c r="C9" s="4" t="s">
        <v>109</v>
      </c>
      <c r="D9" s="6">
        <f t="array" aca="1" ref="D9" ca="1">MIN(1518,
  SUMPRODUCT(
    (MONTH('Lucros Disponíveis'!$A$2:$A$1000)=MONTH(A9)) *
    (YEAR('Lucros Disponíveis'!$A$2:$A$1000)=YEAR(A9)) *
    ('Lucros Disponíveis'!$B$2:$B$1000 + 'Lucros Disponíveis'!$D$2:$D$1000)
  )
)</f>
        <v>240.36864406779657</v>
      </c>
      <c r="E9" s="6">
        <f t="shared" ca="1" si="0"/>
        <v>26.440550847457622</v>
      </c>
      <c r="F9" s="6">
        <f t="shared" ca="1" si="1"/>
        <v>48.073728813559313</v>
      </c>
      <c r="G9" s="6"/>
      <c r="H9" s="6">
        <f t="shared" ca="1" si="2"/>
        <v>213.92809322033895</v>
      </c>
      <c r="I9" s="6">
        <f ca="1">IF(
  ('Lucros Disponíveis'!B8 + 'Lucros Disponíveis'!D8 &gt; D9),
  ('Lucros Disponíveis'!B8 + 'Lucros Disponíveis'!D8 - D9),
  H9
)</f>
        <v>213.92809322033895</v>
      </c>
      <c r="J9" s="6">
        <f t="shared" ca="1" si="3"/>
        <v>213.92809322033895</v>
      </c>
    </row>
    <row r="10" spans="1:10" ht="14.25" customHeight="1" x14ac:dyDescent="0.3">
      <c r="A10" s="33">
        <v>45870</v>
      </c>
      <c r="B10" s="4" t="s">
        <v>3</v>
      </c>
      <c r="C10" s="4" t="s">
        <v>109</v>
      </c>
      <c r="D10" s="6">
        <f t="array" aca="1" ref="D10" ca="1">MIN(1518,
  SUMPRODUCT(
    (MONTH('Lucros Disponíveis'!$A$2:$A$1000)=MONTH(A10)) *
    (YEAR('Lucros Disponíveis'!$A$2:$A$1000)=YEAR(A10)) *
    ('Lucros Disponíveis'!$B$2:$B$1000 + 'Lucros Disponíveis'!$D$2:$D$1000)
  )
)</f>
        <v>240.36864406779657</v>
      </c>
      <c r="E10" s="6">
        <f t="shared" ca="1" si="0"/>
        <v>26.440550847457622</v>
      </c>
      <c r="F10" s="6">
        <f t="shared" ca="1" si="1"/>
        <v>48.073728813559313</v>
      </c>
      <c r="G10" s="6"/>
      <c r="H10" s="6">
        <f t="shared" ca="1" si="2"/>
        <v>213.92809322033895</v>
      </c>
      <c r="I10" s="6">
        <f ca="1">IF(
  ('Lucros Disponíveis'!B9 + 'Lucros Disponíveis'!D9 &gt; D10),
  ('Lucros Disponíveis'!B9 + 'Lucros Disponíveis'!D9 - D10),
  H10
)</f>
        <v>213.92809322033895</v>
      </c>
      <c r="J10" s="6">
        <f t="shared" ca="1" si="3"/>
        <v>213.92809322033895</v>
      </c>
    </row>
    <row r="11" spans="1:10" ht="14.25" customHeight="1" x14ac:dyDescent="0.3">
      <c r="A11" s="33">
        <v>45901</v>
      </c>
      <c r="B11" s="4" t="s">
        <v>3</v>
      </c>
      <c r="C11" s="4" t="s">
        <v>109</v>
      </c>
      <c r="D11" s="6">
        <f t="array" aca="1" ref="D11" ca="1">MIN(1518,
  SUMPRODUCT(
    (MONTH('Lucros Disponíveis'!$A$2:$A$1000)=MONTH(A11)) *
    (YEAR('Lucros Disponíveis'!$A$2:$A$1000)=YEAR(A11)) *
    ('Lucros Disponíveis'!$B$2:$B$1000 + 'Lucros Disponíveis'!$D$2:$D$1000)
  )
)</f>
        <v>0</v>
      </c>
      <c r="E11" s="6">
        <f t="shared" ca="1" si="0"/>
        <v>0</v>
      </c>
      <c r="F11" s="6">
        <f t="shared" ca="1" si="1"/>
        <v>0</v>
      </c>
      <c r="G11" s="6"/>
      <c r="H11" s="6">
        <f t="shared" ca="1" si="2"/>
        <v>0</v>
      </c>
      <c r="I11" s="6">
        <f ca="1">IF(
  ('Lucros Disponíveis'!B10 + 'Lucros Disponíveis'!D10 &gt; D11),
  ('Lucros Disponíveis'!B10 + 'Lucros Disponíveis'!D10 - D11),
  H11
)</f>
        <v>0</v>
      </c>
      <c r="J11" s="6">
        <f t="shared" ca="1" si="3"/>
        <v>0</v>
      </c>
    </row>
    <row r="12" spans="1:10" ht="14.25" customHeight="1" x14ac:dyDescent="0.3">
      <c r="A12" s="33">
        <v>45931</v>
      </c>
      <c r="B12" s="4" t="s">
        <v>3</v>
      </c>
      <c r="C12" s="4" t="s">
        <v>109</v>
      </c>
      <c r="D12" s="6">
        <f t="array" aca="1" ref="D12" ca="1">MIN(1518,
  SUMPRODUCT(
    (MONTH('Lucros Disponíveis'!$A$2:$A$1000)=MONTH(A12)) *
    (YEAR('Lucros Disponíveis'!$A$2:$A$1000)=YEAR(A12)) *
    ('Lucros Disponíveis'!$B$2:$B$1000 + 'Lucros Disponíveis'!$D$2:$D$1000)
  )
)</f>
        <v>0</v>
      </c>
      <c r="E12" s="6">
        <f t="shared" ca="1" si="0"/>
        <v>0</v>
      </c>
      <c r="F12" s="6">
        <f t="shared" ca="1" si="1"/>
        <v>0</v>
      </c>
      <c r="G12" s="6"/>
      <c r="H12" s="6">
        <f t="shared" ca="1" si="2"/>
        <v>0</v>
      </c>
      <c r="I12" s="6">
        <f ca="1">IF(
  ('Lucros Disponíveis'!B11 + 'Lucros Disponíveis'!D11 &gt; D12),
  ('Lucros Disponíveis'!B11 + 'Lucros Disponíveis'!D11 - D12),
  H12
)</f>
        <v>0</v>
      </c>
      <c r="J12" s="6">
        <f t="shared" ca="1" si="3"/>
        <v>0</v>
      </c>
    </row>
    <row r="13" spans="1:10" ht="14.25" customHeight="1" x14ac:dyDescent="0.3">
      <c r="A13" s="33">
        <v>45962</v>
      </c>
      <c r="B13" s="4" t="s">
        <v>3</v>
      </c>
      <c r="C13" s="4" t="s">
        <v>109</v>
      </c>
      <c r="D13" s="6">
        <f t="array" aca="1" ref="D13" ca="1">MIN(1518,
  SUMPRODUCT(
    (MONTH('Lucros Disponíveis'!$A$2:$A$1000)=MONTH(A13)) *
    (YEAR('Lucros Disponíveis'!$A$2:$A$1000)=YEAR(A13)) *
    ('Lucros Disponíveis'!$B$2:$B$1000 + 'Lucros Disponíveis'!$D$2:$D$1000)
  )
)</f>
        <v>301.45372135256423</v>
      </c>
      <c r="E13" s="6">
        <f t="shared" ca="1" si="0"/>
        <v>33.159909348782065</v>
      </c>
      <c r="F13" s="6">
        <f t="shared" ca="1" si="1"/>
        <v>60.290744270512846</v>
      </c>
      <c r="G13" s="6"/>
      <c r="H13" s="6">
        <f t="shared" ca="1" si="2"/>
        <v>268.29381200378214</v>
      </c>
      <c r="I13" s="6">
        <f ca="1">IF(
  ('Lucros Disponíveis'!B12 + 'Lucros Disponíveis'!D12 &gt; D13),
  ('Lucros Disponíveis'!B12 + 'Lucros Disponíveis'!D12 - D13),
  H13
)</f>
        <v>268.29381200378214</v>
      </c>
      <c r="J13" s="6">
        <f t="shared" ca="1" si="3"/>
        <v>268.29381200378214</v>
      </c>
    </row>
    <row r="14" spans="1:10" ht="14.25" customHeight="1" x14ac:dyDescent="0.3">
      <c r="A14" s="33">
        <v>45992</v>
      </c>
      <c r="B14" s="4" t="s">
        <v>3</v>
      </c>
      <c r="C14" s="4" t="s">
        <v>109</v>
      </c>
      <c r="D14" s="6">
        <f t="array" aca="1" ref="D14" ca="1">MIN(1518,
  SUMPRODUCT(
    (MONTH('Lucros Disponíveis'!$A$2:$A$1000)=MONTH(A14)) *
    (YEAR('Lucros Disponíveis'!$A$2:$A$1000)=YEAR(A14)) *
    ('Lucros Disponíveis'!$B$2:$B$1000 + 'Lucros Disponíveis'!$D$2:$D$1000)
  )
)</f>
        <v>0</v>
      </c>
      <c r="E14" s="6">
        <f t="shared" ca="1" si="0"/>
        <v>0</v>
      </c>
      <c r="F14" s="6">
        <f t="shared" ca="1" si="1"/>
        <v>0</v>
      </c>
      <c r="G14" s="6"/>
      <c r="H14" s="6">
        <f t="shared" ca="1" si="2"/>
        <v>0</v>
      </c>
      <c r="I14" s="6">
        <f ca="1">IF(
  ('Lucros Disponíveis'!B13 + 'Lucros Disponíveis'!D13 &gt; D14),
  ('Lucros Disponíveis'!B13 + 'Lucros Disponíveis'!D13 - D14),
  H14
)</f>
        <v>0</v>
      </c>
      <c r="J14" s="6">
        <f t="shared" ca="1" si="3"/>
        <v>0</v>
      </c>
    </row>
    <row r="15" spans="1:10" ht="14.25" customHeight="1" x14ac:dyDescent="0.3">
      <c r="A15" s="33"/>
      <c r="D15" s="6"/>
      <c r="E15" s="6"/>
      <c r="F15" s="6"/>
      <c r="G15" s="6"/>
      <c r="H15" s="6"/>
      <c r="I15" s="6"/>
      <c r="J15" s="6"/>
    </row>
    <row r="16" spans="1:10" ht="14.25" customHeight="1" x14ac:dyDescent="0.3">
      <c r="A16" s="33"/>
      <c r="D16" s="6"/>
      <c r="E16" s="6"/>
      <c r="F16" s="6"/>
      <c r="G16" s="6"/>
      <c r="H16" s="6"/>
      <c r="I16" s="6"/>
      <c r="J16" s="6"/>
    </row>
    <row r="17" spans="1:8" ht="14.25" customHeight="1" x14ac:dyDescent="0.3">
      <c r="A17" s="31" t="s">
        <v>153</v>
      </c>
      <c r="B17" s="31"/>
      <c r="C17" s="34"/>
      <c r="D17" s="34"/>
      <c r="E17" s="34"/>
      <c r="F17" s="34"/>
      <c r="G17" s="34"/>
      <c r="H17" s="34"/>
    </row>
    <row r="18" spans="1:8" ht="14.25" customHeight="1" x14ac:dyDescent="0.3">
      <c r="A18" s="1" t="s">
        <v>16</v>
      </c>
      <c r="B18" s="1" t="s">
        <v>102</v>
      </c>
      <c r="C18" s="1" t="s">
        <v>20</v>
      </c>
      <c r="D18" s="1" t="s">
        <v>103</v>
      </c>
      <c r="E18" s="12" t="s">
        <v>104</v>
      </c>
      <c r="F18" s="12" t="s">
        <v>105</v>
      </c>
      <c r="G18" s="12" t="s">
        <v>106</v>
      </c>
      <c r="H18" s="1" t="s">
        <v>107</v>
      </c>
    </row>
    <row r="19" spans="1:8" ht="14.25" customHeight="1" x14ac:dyDescent="0.3">
      <c r="A19" s="33">
        <v>45658</v>
      </c>
      <c r="B19" s="4" t="s">
        <v>6</v>
      </c>
      <c r="C19" s="4" t="s">
        <v>110</v>
      </c>
      <c r="D19" s="6">
        <f t="array" aca="1" ref="D19" ca="1">SUMPRODUCT(
    (MONTH('Lucros Disponíveis'!$A$2:$A$1000)=MONTH(A19)) *
    (YEAR('Lucros Disponíveis'!$A$2:$A$1000)=YEAR(A19)) *
    ('Lucros Disponíveis'!$G$2:$G$1000)
  )</f>
        <v>0</v>
      </c>
      <c r="E19" s="6">
        <f t="shared" ref="E19:E31" ca="1" si="4">IF(D19="", "", D19*11%)</f>
        <v>0</v>
      </c>
      <c r="F19" s="6">
        <f t="shared" ref="F19:F31" ca="1" si="5">IF(D19="", "", D19*20%)</f>
        <v>0</v>
      </c>
      <c r="G19" s="6">
        <f t="shared" ref="G19:G31" ca="1" si="6">IF(D19-528 &lt;= 2259.2,
    0,
    IF(D19-528 &lt;= 2826.65,
        (D19-528)*0.075 - 169.44,
        IF(D19-528 &lt;= 3751.05,
            (D19-528)*0.15 - 381.44,
            IF(D19-528 &lt;= 4664.68,
                (D19-528)*0.225 - 662.77,
                (D19-528)*0.275 - 896
            )
        )
    )
)</f>
        <v>0</v>
      </c>
      <c r="H19" s="6">
        <f t="shared" ref="H19:H31" ca="1" si="7">IF(D19="", "", D19 -E19-G19)</f>
        <v>0</v>
      </c>
    </row>
    <row r="20" spans="1:8" ht="14.25" customHeight="1" x14ac:dyDescent="0.3">
      <c r="A20" s="33">
        <v>45689</v>
      </c>
      <c r="B20" s="4" t="s">
        <v>6</v>
      </c>
      <c r="C20" s="4" t="s">
        <v>110</v>
      </c>
      <c r="D20" s="6">
        <f t="array" aca="1" ref="D20" ca="1">SUMPRODUCT(
    (MONTH('Lucros Disponíveis'!$A$2:$A$1000)=MONTH(A20)) *
    (YEAR('Lucros Disponíveis'!$A$2:$A$1000)=YEAR(A20)) *
    ('Lucros Disponíveis'!$G$2:$G$1000)
  )</f>
        <v>0</v>
      </c>
      <c r="E20" s="6">
        <f t="shared" ca="1" si="4"/>
        <v>0</v>
      </c>
      <c r="F20" s="6">
        <f t="shared" ca="1" si="5"/>
        <v>0</v>
      </c>
      <c r="G20" s="6">
        <f t="shared" ca="1" si="6"/>
        <v>0</v>
      </c>
      <c r="H20" s="6">
        <f t="shared" ca="1" si="7"/>
        <v>0</v>
      </c>
    </row>
    <row r="21" spans="1:8" ht="14.25" customHeight="1" x14ac:dyDescent="0.3">
      <c r="A21" s="33">
        <v>45717</v>
      </c>
      <c r="B21" s="4" t="s">
        <v>6</v>
      </c>
      <c r="C21" s="4" t="s">
        <v>110</v>
      </c>
      <c r="D21" s="6">
        <f t="array" aca="1" ref="D21" ca="1">SUMPRODUCT(
    (MONTH('Lucros Disponíveis'!$A$2:$A$1000)=MONTH(A21)) *
    (YEAR('Lucros Disponíveis'!$A$2:$A$1000)=YEAR(A21)) *
    ('Lucros Disponíveis'!$G$2:$G$1000)
  )</f>
        <v>0</v>
      </c>
      <c r="E21" s="6">
        <f t="shared" ca="1" si="4"/>
        <v>0</v>
      </c>
      <c r="F21" s="6">
        <f t="shared" ca="1" si="5"/>
        <v>0</v>
      </c>
      <c r="G21" s="6">
        <f t="shared" ca="1" si="6"/>
        <v>0</v>
      </c>
      <c r="H21" s="6">
        <f t="shared" ca="1" si="7"/>
        <v>0</v>
      </c>
    </row>
    <row r="22" spans="1:8" ht="14.25" customHeight="1" x14ac:dyDescent="0.3">
      <c r="A22" s="33">
        <v>45748</v>
      </c>
      <c r="B22" s="4" t="s">
        <v>6</v>
      </c>
      <c r="C22" s="4" t="s">
        <v>110</v>
      </c>
      <c r="D22" s="6">
        <f t="array" aca="1" ref="D22" ca="1">SUMPRODUCT(
    (MONTH('Lucros Disponíveis'!$A$2:$A$1000)=MONTH(A22)) *
    (YEAR('Lucros Disponíveis'!$A$2:$A$1000)=YEAR(A22)) *
    ('Lucros Disponíveis'!$G$2:$G$1000)
  )</f>
        <v>0</v>
      </c>
      <c r="E22" s="6">
        <f t="shared" ca="1" si="4"/>
        <v>0</v>
      </c>
      <c r="F22" s="6">
        <f t="shared" ca="1" si="5"/>
        <v>0</v>
      </c>
      <c r="G22" s="6">
        <f t="shared" ca="1" si="6"/>
        <v>0</v>
      </c>
      <c r="H22" s="6">
        <f t="shared" ca="1" si="7"/>
        <v>0</v>
      </c>
    </row>
    <row r="23" spans="1:8" ht="14.25" customHeight="1" x14ac:dyDescent="0.3">
      <c r="A23" s="33">
        <v>45778</v>
      </c>
      <c r="B23" s="4" t="s">
        <v>6</v>
      </c>
      <c r="C23" s="4" t="s">
        <v>110</v>
      </c>
      <c r="D23" s="6">
        <f t="array" aca="1" ref="D23" ca="1">SUMPRODUCT(
    (MONTH('Lucros Disponíveis'!$A$2:$A$1000)=MONTH(A23)) *
    (YEAR('Lucros Disponíveis'!$A$2:$A$1000)=YEAR(A23)) *
    ('Lucros Disponíveis'!$G$2:$G$1000)
  )</f>
        <v>0</v>
      </c>
      <c r="E23" s="6">
        <f t="shared" ca="1" si="4"/>
        <v>0</v>
      </c>
      <c r="F23" s="6">
        <f t="shared" ca="1" si="5"/>
        <v>0</v>
      </c>
      <c r="G23" s="6">
        <f t="shared" ca="1" si="6"/>
        <v>0</v>
      </c>
      <c r="H23" s="6">
        <f t="shared" ca="1" si="7"/>
        <v>0</v>
      </c>
    </row>
    <row r="24" spans="1:8" ht="14.25" customHeight="1" x14ac:dyDescent="0.3">
      <c r="A24" s="33">
        <v>45809</v>
      </c>
      <c r="B24" s="4" t="s">
        <v>6</v>
      </c>
      <c r="C24" s="4" t="s">
        <v>110</v>
      </c>
      <c r="D24" s="6">
        <f t="array" aca="1" ref="D24" ca="1">SUMPRODUCT(
    (MONTH('Lucros Disponíveis'!$A$2:$A$1000)=MONTH(A24)) *
    (YEAR('Lucros Disponíveis'!$A$2:$A$1000)=YEAR(A24)) *
    ('Lucros Disponíveis'!$G$2:$G$1000)
  )</f>
        <v>0</v>
      </c>
      <c r="E24" s="6">
        <f t="shared" ca="1" si="4"/>
        <v>0</v>
      </c>
      <c r="F24" s="6">
        <f t="shared" ca="1" si="5"/>
        <v>0</v>
      </c>
      <c r="G24" s="6">
        <f t="shared" ca="1" si="6"/>
        <v>0</v>
      </c>
      <c r="H24" s="6">
        <f t="shared" ca="1" si="7"/>
        <v>0</v>
      </c>
    </row>
    <row r="25" spans="1:8" ht="14.25" customHeight="1" x14ac:dyDescent="0.3">
      <c r="A25" s="33">
        <v>45839</v>
      </c>
      <c r="B25" s="4" t="s">
        <v>6</v>
      </c>
      <c r="C25" s="4" t="s">
        <v>110</v>
      </c>
      <c r="D25" s="6">
        <f t="array" aca="1" ref="D25" ca="1">SUMPRODUCT(
    (MONTH('Lucros Disponíveis'!$A$2:$A$1000)=MONTH(A25)) *
    (YEAR('Lucros Disponíveis'!$A$2:$A$1000)=YEAR(A25)) *
    ('Lucros Disponíveis'!$G$2:$G$1000)
  )</f>
        <v>0</v>
      </c>
      <c r="E25" s="6">
        <f t="shared" ca="1" si="4"/>
        <v>0</v>
      </c>
      <c r="F25" s="6">
        <f t="shared" ca="1" si="5"/>
        <v>0</v>
      </c>
      <c r="G25" s="6">
        <f t="shared" ca="1" si="6"/>
        <v>0</v>
      </c>
      <c r="H25" s="6">
        <f t="shared" ca="1" si="7"/>
        <v>0</v>
      </c>
    </row>
    <row r="26" spans="1:8" ht="14.25" customHeight="1" x14ac:dyDescent="0.3">
      <c r="A26" s="33">
        <v>45870</v>
      </c>
      <c r="B26" s="4" t="s">
        <v>6</v>
      </c>
      <c r="C26" s="4" t="s">
        <v>110</v>
      </c>
      <c r="D26" s="6">
        <f t="array" aca="1" ref="D26" ca="1">SUMPRODUCT(
    (MONTH('Lucros Disponíveis'!$A$2:$A$1000)=MONTH(A26)) *
    (YEAR('Lucros Disponíveis'!$A$2:$A$1000)=YEAR(A26)) *
    ('Lucros Disponíveis'!$G$2:$G$1000)
  )</f>
        <v>0</v>
      </c>
      <c r="E26" s="6">
        <f t="shared" ca="1" si="4"/>
        <v>0</v>
      </c>
      <c r="F26" s="6">
        <f t="shared" ca="1" si="5"/>
        <v>0</v>
      </c>
      <c r="G26" s="6">
        <f t="shared" ca="1" si="6"/>
        <v>0</v>
      </c>
      <c r="H26" s="6">
        <f t="shared" ca="1" si="7"/>
        <v>0</v>
      </c>
    </row>
    <row r="27" spans="1:8" ht="14.25" customHeight="1" x14ac:dyDescent="0.3">
      <c r="A27" s="33">
        <v>45901</v>
      </c>
      <c r="B27" s="4" t="s">
        <v>6</v>
      </c>
      <c r="C27" s="4" t="s">
        <v>110</v>
      </c>
      <c r="D27" s="6">
        <f t="array" aca="1" ref="D27" ca="1">SUMPRODUCT(
    (MONTH('Lucros Disponíveis'!$A$2:$A$1000)=MONTH(A27)) *
    (YEAR('Lucros Disponíveis'!$A$2:$A$1000)=YEAR(A27)) *
    ('Lucros Disponíveis'!$G$2:$G$1000)
  )</f>
        <v>0</v>
      </c>
      <c r="E27" s="6">
        <f t="shared" ca="1" si="4"/>
        <v>0</v>
      </c>
      <c r="F27" s="6">
        <f t="shared" ca="1" si="5"/>
        <v>0</v>
      </c>
      <c r="G27" s="6">
        <f t="shared" ca="1" si="6"/>
        <v>0</v>
      </c>
      <c r="H27" s="6">
        <f t="shared" ca="1" si="7"/>
        <v>0</v>
      </c>
    </row>
    <row r="28" spans="1:8" ht="14.25" customHeight="1" x14ac:dyDescent="0.3">
      <c r="A28" s="33">
        <v>45931</v>
      </c>
      <c r="B28" s="4" t="s">
        <v>6</v>
      </c>
      <c r="C28" s="4" t="s">
        <v>110</v>
      </c>
      <c r="D28" s="6">
        <f t="array" aca="1" ref="D28" ca="1">SUMPRODUCT(
    (MONTH('Lucros Disponíveis'!$A$2:$A$1000)=MONTH(A28)) *
    (YEAR('Lucros Disponíveis'!$A$2:$A$1000)=YEAR(A28)) *
    ('Lucros Disponíveis'!$G$2:$G$1000)
  )</f>
        <v>0</v>
      </c>
      <c r="E28" s="6">
        <f t="shared" ca="1" si="4"/>
        <v>0</v>
      </c>
      <c r="F28" s="6">
        <f t="shared" ca="1" si="5"/>
        <v>0</v>
      </c>
      <c r="G28" s="6">
        <f t="shared" ca="1" si="6"/>
        <v>0</v>
      </c>
      <c r="H28" s="6">
        <f t="shared" ca="1" si="7"/>
        <v>0</v>
      </c>
    </row>
    <row r="29" spans="1:8" ht="14.25" customHeight="1" x14ac:dyDescent="0.3">
      <c r="A29" s="33">
        <v>45962</v>
      </c>
      <c r="B29" s="4" t="s">
        <v>6</v>
      </c>
      <c r="C29" s="4" t="s">
        <v>110</v>
      </c>
      <c r="D29" s="6">
        <f t="array" aca="1" ref="D29" ca="1">SUMPRODUCT(
    (MONTH('Lucros Disponíveis'!$A$2:$A$1000)=MONTH(A29)) *
    (YEAR('Lucros Disponíveis'!$A$2:$A$1000)=YEAR(A29)) *
    ('Lucros Disponíveis'!$G$2:$G$1000)
  )</f>
        <v>0</v>
      </c>
      <c r="E29" s="6">
        <f t="shared" ca="1" si="4"/>
        <v>0</v>
      </c>
      <c r="F29" s="6">
        <f t="shared" ca="1" si="5"/>
        <v>0</v>
      </c>
      <c r="G29" s="6">
        <f t="shared" ca="1" si="6"/>
        <v>0</v>
      </c>
      <c r="H29" s="6">
        <f t="shared" ca="1" si="7"/>
        <v>0</v>
      </c>
    </row>
    <row r="30" spans="1:8" ht="14.25" customHeight="1" x14ac:dyDescent="0.3">
      <c r="A30" s="33">
        <v>45992</v>
      </c>
      <c r="B30" s="4" t="s">
        <v>6</v>
      </c>
      <c r="C30" s="4" t="s">
        <v>110</v>
      </c>
      <c r="D30" s="6">
        <f t="array" aca="1" ref="D30" ca="1">SUMPRODUCT(
    (MONTH('Lucros Disponíveis'!$A$2:$A$1000)=MONTH(A30)) *
    (YEAR('Lucros Disponíveis'!$A$2:$A$1000)=YEAR(A30)) *
    ('Lucros Disponíveis'!$G$2:$G$1000)
  )</f>
        <v>0</v>
      </c>
      <c r="E30" s="6">
        <f t="shared" ca="1" si="4"/>
        <v>0</v>
      </c>
      <c r="F30" s="6">
        <f t="shared" ca="1" si="5"/>
        <v>0</v>
      </c>
      <c r="G30" s="6">
        <f t="shared" ca="1" si="6"/>
        <v>0</v>
      </c>
      <c r="H30" s="6">
        <f t="shared" ca="1" si="7"/>
        <v>0</v>
      </c>
    </row>
    <row r="31" spans="1:8" ht="14.25" customHeight="1" x14ac:dyDescent="0.3">
      <c r="A31" s="4" t="s">
        <v>111</v>
      </c>
      <c r="B31" s="4" t="s">
        <v>6</v>
      </c>
      <c r="C31" s="4" t="s">
        <v>110</v>
      </c>
      <c r="D31" s="6">
        <f ca="1">(Fundos!G22)</f>
        <v>0</v>
      </c>
      <c r="E31" s="6">
        <f t="shared" ca="1" si="4"/>
        <v>0</v>
      </c>
      <c r="F31" s="6">
        <f t="shared" ca="1" si="5"/>
        <v>0</v>
      </c>
      <c r="G31" s="6">
        <f t="shared" ca="1" si="6"/>
        <v>0</v>
      </c>
      <c r="H31" s="6">
        <f t="shared" ca="1" si="7"/>
        <v>0</v>
      </c>
    </row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>
      <selection activeCell="H12" sqref="H12"/>
    </sheetView>
  </sheetViews>
  <sheetFormatPr defaultColWidth="14.44140625" defaultRowHeight="15" customHeight="1" x14ac:dyDescent="0.3"/>
  <cols>
    <col min="1" max="1" width="15" customWidth="1"/>
    <col min="2" max="2" width="17.5546875" customWidth="1"/>
    <col min="3" max="3" width="23" customWidth="1"/>
    <col min="4" max="4" width="15" customWidth="1"/>
    <col min="5" max="5" width="16.6640625" customWidth="1"/>
    <col min="6" max="6" width="13.6640625" customWidth="1"/>
    <col min="7" max="7" width="16.33203125" customWidth="1"/>
    <col min="8" max="8" width="19.6640625" customWidth="1"/>
    <col min="9" max="9" width="20.109375" customWidth="1"/>
    <col min="10" max="10" width="17.44140625" customWidth="1"/>
    <col min="11" max="11" width="17.6640625" customWidth="1"/>
    <col min="12" max="26" width="8.6640625" customWidth="1"/>
  </cols>
  <sheetData>
    <row r="1" spans="1:11" ht="14.25" customHeight="1" x14ac:dyDescent="0.3">
      <c r="A1" s="1" t="s">
        <v>16</v>
      </c>
      <c r="B1" s="2" t="s">
        <v>112</v>
      </c>
      <c r="C1" s="1" t="s">
        <v>113</v>
      </c>
      <c r="D1" s="1" t="s">
        <v>114</v>
      </c>
      <c r="E1" s="1" t="s">
        <v>115</v>
      </c>
      <c r="F1" s="35" t="s">
        <v>116</v>
      </c>
      <c r="G1" s="12" t="s">
        <v>117</v>
      </c>
      <c r="H1" s="12" t="s">
        <v>85</v>
      </c>
      <c r="I1" s="12" t="s">
        <v>17</v>
      </c>
      <c r="J1" s="36" t="s">
        <v>118</v>
      </c>
      <c r="K1" s="35" t="s">
        <v>51</v>
      </c>
    </row>
    <row r="2" spans="1:11" ht="14.25" customHeight="1" x14ac:dyDescent="0.3">
      <c r="A2" s="15">
        <v>45658</v>
      </c>
      <c r="B2" s="37">
        <f t="array" ref="B2">SUMPRODUCT((MONTH(Entradas!B$2:B$1000)=MONTH(A2))*(YEAR(Entradas!B$2:B$1000)=YEAR(A2))*(Entradas!C$2:C$1000))</f>
        <v>0</v>
      </c>
      <c r="C2" s="37">
        <f>SUM(B2)</f>
        <v>0</v>
      </c>
      <c r="D2" s="4">
        <f t="shared" ref="D2:D13" si="0">IF(C2&lt;=180000, 4.5,
  IF(C2&lt;=360000, 9,
    IF(C2&lt;=720000, 10.2,
      IF(C2&lt;=1800000, 14,
        IF(C2&lt;=3600000, 22,
          IF(C2&lt;=4800000, 33, "Fora do Anexo IV")
        )
      )
    )
  )
)</f>
        <v>4.5</v>
      </c>
      <c r="E2" s="38">
        <f t="shared" ref="E2:E13" si="1">IF(C2=0, 0, ((C2*D2/100) - F2) / C2 * 100)</f>
        <v>0</v>
      </c>
      <c r="F2" s="37">
        <f t="shared" ref="F2:F13" si="2">IF(C2&lt;=180000, 0,
  IF(C2&lt;=360000, 8100,
    IF(C2&lt;=720000, 12420,
      IF(C2&lt;=1800000, 39780,
        IF(C2&lt;=3600000, 183780,
          IF(C2&lt;=4800000, 828000, 0)
        )
      )
    )
  )
)</f>
        <v>0</v>
      </c>
      <c r="G2" s="37">
        <f t="shared" ref="G2:G13" si="3">B2 * E2 / 100</f>
        <v>0</v>
      </c>
      <c r="H2" s="37">
        <f ca="1">'Pró-labore'!F3+'Pró-labore'!F19</f>
        <v>0</v>
      </c>
      <c r="I2" s="37">
        <f>Despesas!B3</f>
        <v>0</v>
      </c>
      <c r="J2" s="37">
        <f t="shared" ref="J2:J14" ca="1" si="4">B2-G2-H2-I2</f>
        <v>0</v>
      </c>
      <c r="K2" s="37">
        <f t="shared" ref="K2:K13" ca="1" si="5">J2*10%</f>
        <v>0</v>
      </c>
    </row>
    <row r="3" spans="1:11" ht="14.25" customHeight="1" x14ac:dyDescent="0.3">
      <c r="A3" s="15">
        <v>45689</v>
      </c>
      <c r="B3" s="37">
        <f t="array" ref="B3">SUMPRODUCT((MONTH(Entradas!B$2:B$1000)=MONTH(A3))*(YEAR(Entradas!B$2:B$1000)=YEAR(A3))*(Entradas!C$2:C$1000))</f>
        <v>0</v>
      </c>
      <c r="C3" s="37">
        <f>SUM(B2:B3)</f>
        <v>0</v>
      </c>
      <c r="D3" s="4">
        <f t="shared" si="0"/>
        <v>4.5</v>
      </c>
      <c r="E3" s="38">
        <f t="shared" si="1"/>
        <v>0</v>
      </c>
      <c r="F3" s="37">
        <f t="shared" si="2"/>
        <v>0</v>
      </c>
      <c r="G3" s="37">
        <f t="shared" si="3"/>
        <v>0</v>
      </c>
      <c r="H3" s="37">
        <f ca="1">'Pró-labore'!F4+'Pró-labore'!F20</f>
        <v>0</v>
      </c>
      <c r="I3" s="37">
        <f>Despesas!B4</f>
        <v>0</v>
      </c>
      <c r="J3" s="37">
        <f t="shared" ca="1" si="4"/>
        <v>0</v>
      </c>
      <c r="K3" s="37">
        <f t="shared" ca="1" si="5"/>
        <v>0</v>
      </c>
    </row>
    <row r="4" spans="1:11" ht="14.25" customHeight="1" x14ac:dyDescent="0.3">
      <c r="A4" s="15">
        <v>45717</v>
      </c>
      <c r="B4" s="37">
        <f t="array" ref="B4">SUMPRODUCT((MONTH(Entradas!B$2:B$1000)=MONTH(A4))*(YEAR(Entradas!B$2:B$1000)=YEAR(A4))*(Entradas!C$2:C$1000))</f>
        <v>0</v>
      </c>
      <c r="C4" s="37">
        <f>SUM(B2:B4)</f>
        <v>0</v>
      </c>
      <c r="D4" s="4">
        <f t="shared" si="0"/>
        <v>4.5</v>
      </c>
      <c r="E4" s="38">
        <f t="shared" si="1"/>
        <v>0</v>
      </c>
      <c r="F4" s="37">
        <f t="shared" si="2"/>
        <v>0</v>
      </c>
      <c r="G4" s="37">
        <f t="shared" si="3"/>
        <v>0</v>
      </c>
      <c r="H4" s="37">
        <f ca="1">'Pró-labore'!F5+'Pró-labore'!F21</f>
        <v>0</v>
      </c>
      <c r="I4" s="37">
        <f>Despesas!B5</f>
        <v>0</v>
      </c>
      <c r="J4" s="37">
        <f t="shared" ca="1" si="4"/>
        <v>0</v>
      </c>
      <c r="K4" s="37">
        <f t="shared" ca="1" si="5"/>
        <v>0</v>
      </c>
    </row>
    <row r="5" spans="1:11" ht="14.25" customHeight="1" x14ac:dyDescent="0.3">
      <c r="A5" s="15">
        <v>45748</v>
      </c>
      <c r="B5" s="37">
        <f t="array" ref="B5">SUMPRODUCT((MONTH(Entradas!B$2:B$1000)=MONTH(A5))*(YEAR(Entradas!B$2:B$1000)=YEAR(A5))*(Entradas!C$2:C$1000))</f>
        <v>0</v>
      </c>
      <c r="C5" s="37">
        <f>SUM(B2:B5)</f>
        <v>0</v>
      </c>
      <c r="D5" s="4">
        <f t="shared" si="0"/>
        <v>4.5</v>
      </c>
      <c r="E5" s="38">
        <f t="shared" si="1"/>
        <v>0</v>
      </c>
      <c r="F5" s="37">
        <f t="shared" si="2"/>
        <v>0</v>
      </c>
      <c r="G5" s="37">
        <f t="shared" si="3"/>
        <v>0</v>
      </c>
      <c r="H5" s="37">
        <f ca="1">'Pró-labore'!F6+'Pró-labore'!F22</f>
        <v>0</v>
      </c>
      <c r="I5" s="37">
        <f>Despesas!B6</f>
        <v>0</v>
      </c>
      <c r="J5" s="37">
        <f t="shared" ca="1" si="4"/>
        <v>0</v>
      </c>
      <c r="K5" s="37">
        <f t="shared" ca="1" si="5"/>
        <v>0</v>
      </c>
    </row>
    <row r="6" spans="1:11" ht="14.25" customHeight="1" x14ac:dyDescent="0.3">
      <c r="A6" s="15">
        <v>45778</v>
      </c>
      <c r="B6" s="37">
        <f t="array" ref="B6">SUMPRODUCT((MONTH(Entradas!B$2:B$1000)=MONTH(A6))*(YEAR(Entradas!B$2:B$1000)=YEAR(A6))*(Entradas!C$2:C$1000))</f>
        <v>0</v>
      </c>
      <c r="C6" s="37">
        <f>SUM(B2:B6)</f>
        <v>0</v>
      </c>
      <c r="D6" s="4">
        <f t="shared" si="0"/>
        <v>4.5</v>
      </c>
      <c r="E6" s="38">
        <f t="shared" si="1"/>
        <v>0</v>
      </c>
      <c r="F6" s="37">
        <f t="shared" si="2"/>
        <v>0</v>
      </c>
      <c r="G6" s="37">
        <f t="shared" si="3"/>
        <v>0</v>
      </c>
      <c r="H6" s="37">
        <f ca="1">'Pró-labore'!F7+'Pró-labore'!F23</f>
        <v>0</v>
      </c>
      <c r="I6" s="37">
        <f>Despesas!B7</f>
        <v>0</v>
      </c>
      <c r="J6" s="37">
        <f t="shared" ca="1" si="4"/>
        <v>0</v>
      </c>
      <c r="K6" s="37">
        <f t="shared" ca="1" si="5"/>
        <v>0</v>
      </c>
    </row>
    <row r="7" spans="1:11" ht="14.25" customHeight="1" x14ac:dyDescent="0.3">
      <c r="A7" s="15">
        <v>45809</v>
      </c>
      <c r="B7" s="37">
        <f t="array" ref="B7">SUMPRODUCT((MONTH(Entradas!B$2:B$10000)=MONTH(A7))*(YEAR(Entradas!B$2:B$10000)=YEAR(A7))*(Entradas!C$2:C$10000))</f>
        <v>1500</v>
      </c>
      <c r="C7" s="37">
        <f>SUM(B2:B7)</f>
        <v>1500</v>
      </c>
      <c r="D7" s="4">
        <f t="shared" si="0"/>
        <v>4.5</v>
      </c>
      <c r="E7" s="38">
        <f t="shared" si="1"/>
        <v>4.5</v>
      </c>
      <c r="F7" s="37">
        <f t="shared" si="2"/>
        <v>0</v>
      </c>
      <c r="G7" s="37">
        <f t="shared" si="3"/>
        <v>67.5</v>
      </c>
      <c r="H7" s="37">
        <f ca="1">'Pró-labore'!F8+'Pró-labore'!F24</f>
        <v>124.28082191780823</v>
      </c>
      <c r="I7" s="37">
        <f>Despesas!B8</f>
        <v>0</v>
      </c>
      <c r="J7" s="37">
        <f t="shared" ca="1" si="4"/>
        <v>1308.2191780821918</v>
      </c>
      <c r="K7" s="37">
        <f t="shared" ca="1" si="5"/>
        <v>130.82191780821918</v>
      </c>
    </row>
    <row r="8" spans="1:11" ht="14.25" customHeight="1" x14ac:dyDescent="0.3">
      <c r="A8" s="15">
        <v>45839</v>
      </c>
      <c r="B8" s="37">
        <f t="array" ref="B8">SUMPRODUCT((MONTH(Entradas!B$2:B$1000)=MONTH(A8))*(YEAR(Entradas!B$2:B$1000)=YEAR(A8))*(Entradas!C$2:C$1000))</f>
        <v>330</v>
      </c>
      <c r="C8" s="37">
        <f>SUM(B2:B8)</f>
        <v>1830</v>
      </c>
      <c r="D8" s="4">
        <f t="shared" si="0"/>
        <v>4.5</v>
      </c>
      <c r="E8" s="38">
        <f t="shared" si="1"/>
        <v>4.5</v>
      </c>
      <c r="F8" s="37">
        <f t="shared" si="2"/>
        <v>0</v>
      </c>
      <c r="G8" s="37">
        <f t="shared" si="3"/>
        <v>14.85</v>
      </c>
      <c r="H8" s="37">
        <f ca="1">'Pró-labore'!F9+'Pró-labore'!F25</f>
        <v>48.073728813559313</v>
      </c>
      <c r="I8" s="37">
        <f>Despesas!B9</f>
        <v>0</v>
      </c>
      <c r="J8" s="37">
        <f t="shared" ca="1" si="4"/>
        <v>267.07627118644064</v>
      </c>
      <c r="K8" s="37">
        <f t="shared" ca="1" si="5"/>
        <v>26.707627118644066</v>
      </c>
    </row>
    <row r="9" spans="1:11" ht="14.25" customHeight="1" x14ac:dyDescent="0.3">
      <c r="A9" s="15">
        <v>45870</v>
      </c>
      <c r="B9" s="37">
        <f t="array" ref="B9">SUMPRODUCT((MONTH(Entradas!B$2:B$1000)=MONTH(A9))*(YEAR(Entradas!B$2:B$1000)=YEAR(A9))*(Entradas!C$2:C$1000))</f>
        <v>330</v>
      </c>
      <c r="C9" s="37">
        <f>SUM(B2:B9)</f>
        <v>2160</v>
      </c>
      <c r="D9" s="4">
        <f t="shared" si="0"/>
        <v>4.5</v>
      </c>
      <c r="E9" s="38">
        <f t="shared" si="1"/>
        <v>4.5</v>
      </c>
      <c r="F9" s="37">
        <f t="shared" si="2"/>
        <v>0</v>
      </c>
      <c r="G9" s="37">
        <f t="shared" si="3"/>
        <v>14.85</v>
      </c>
      <c r="H9" s="37">
        <f ca="1">'Pró-labore'!F10+'Pró-labore'!F26</f>
        <v>48.073728813559313</v>
      </c>
      <c r="I9" s="37">
        <f>Despesas!B10</f>
        <v>0</v>
      </c>
      <c r="J9" s="37">
        <f t="shared" ca="1" si="4"/>
        <v>267.07627118644064</v>
      </c>
      <c r="K9" s="37">
        <f t="shared" ca="1" si="5"/>
        <v>26.707627118644066</v>
      </c>
    </row>
    <row r="10" spans="1:11" ht="14.25" customHeight="1" x14ac:dyDescent="0.3">
      <c r="A10" s="15">
        <v>45901</v>
      </c>
      <c r="B10" s="37">
        <f t="array" ref="B10">SUMPRODUCT((MONTH(Entradas!B$2:B$1000)=MONTH(A10))*(YEAR(Entradas!B$2:B$1000)=YEAR(A10))*(Entradas!C$2:C$1000))</f>
        <v>0</v>
      </c>
      <c r="C10" s="37">
        <f>SUM(B2:B10)</f>
        <v>2160</v>
      </c>
      <c r="D10" s="4">
        <f t="shared" si="0"/>
        <v>4.5</v>
      </c>
      <c r="E10" s="38">
        <f t="shared" si="1"/>
        <v>4.5</v>
      </c>
      <c r="F10" s="37">
        <f t="shared" si="2"/>
        <v>0</v>
      </c>
      <c r="G10" s="37">
        <f t="shared" si="3"/>
        <v>0</v>
      </c>
      <c r="H10" s="37">
        <f ca="1">'Pró-labore'!F11+'Pró-labore'!F27</f>
        <v>0</v>
      </c>
      <c r="I10" s="37">
        <f>Despesas!B11</f>
        <v>0</v>
      </c>
      <c r="J10" s="37">
        <f t="shared" ca="1" si="4"/>
        <v>0</v>
      </c>
      <c r="K10" s="37">
        <f t="shared" ca="1" si="5"/>
        <v>0</v>
      </c>
    </row>
    <row r="11" spans="1:11" ht="14.25" customHeight="1" x14ac:dyDescent="0.3">
      <c r="A11" s="15">
        <v>45931</v>
      </c>
      <c r="B11" s="37">
        <f t="array" ref="B11">SUMPRODUCT((MONTH(Entradas!B$2:B$1000)=MONTH(A11))*(YEAR(Entradas!B$2:B$1000)=YEAR(A11))*(Entradas!C$2:C$1000))</f>
        <v>0</v>
      </c>
      <c r="C11" s="37">
        <f>SUM(B2:B11)</f>
        <v>2160</v>
      </c>
      <c r="D11" s="4">
        <f t="shared" si="0"/>
        <v>4.5</v>
      </c>
      <c r="E11" s="38">
        <f t="shared" si="1"/>
        <v>4.5</v>
      </c>
      <c r="F11" s="37">
        <f t="shared" si="2"/>
        <v>0</v>
      </c>
      <c r="G11" s="37">
        <f t="shared" si="3"/>
        <v>0</v>
      </c>
      <c r="H11" s="37">
        <f ca="1">'Pró-labore'!F12+'Pró-labore'!F28</f>
        <v>0</v>
      </c>
      <c r="I11" s="37">
        <f>Despesas!B12</f>
        <v>0</v>
      </c>
      <c r="J11" s="37">
        <f t="shared" ca="1" si="4"/>
        <v>0</v>
      </c>
      <c r="K11" s="37">
        <f t="shared" ca="1" si="5"/>
        <v>0</v>
      </c>
    </row>
    <row r="12" spans="1:11" ht="14.25" customHeight="1" x14ac:dyDescent="0.3">
      <c r="A12" s="15">
        <v>45962</v>
      </c>
      <c r="B12" s="37">
        <f t="array" ref="B12">SUMPRODUCT((MONTH(Entradas!B$2:B$1000)=MONTH(A12))*(YEAR(Entradas!B$2:B$1000)=YEAR(A12))*(Entradas!C$2:C$1000))</f>
        <v>1600</v>
      </c>
      <c r="C12" s="37">
        <f>SUM(B2:B12)</f>
        <v>3760</v>
      </c>
      <c r="D12" s="4">
        <f t="shared" si="0"/>
        <v>4.5</v>
      </c>
      <c r="E12" s="38">
        <f t="shared" si="1"/>
        <v>4.5</v>
      </c>
      <c r="F12" s="37">
        <f t="shared" si="2"/>
        <v>0</v>
      </c>
      <c r="G12" s="37">
        <f t="shared" si="3"/>
        <v>72</v>
      </c>
      <c r="H12" s="37">
        <f ca="1">'Pró-labore'!F13+'Pró-labore'!F29</f>
        <v>60.290744270512846</v>
      </c>
      <c r="I12" s="37">
        <f>Despesas!B13</f>
        <v>0</v>
      </c>
      <c r="J12" s="37">
        <f t="shared" ca="1" si="4"/>
        <v>1467.7092557294873</v>
      </c>
      <c r="K12" s="37">
        <f t="shared" ca="1" si="5"/>
        <v>146.77092557294873</v>
      </c>
    </row>
    <row r="13" spans="1:11" ht="14.25" customHeight="1" x14ac:dyDescent="0.3">
      <c r="A13" s="15">
        <v>45992</v>
      </c>
      <c r="B13" s="37">
        <f t="array" ref="B13">SUMPRODUCT((MONTH(Entradas!B$2:B$1000)=MONTH(A13))*(YEAR(Entradas!B$2:B$1000)=YEAR(A13))*(Entradas!C$2:C$1000))</f>
        <v>0</v>
      </c>
      <c r="C13" s="37">
        <f>SUM(B2:B13)</f>
        <v>3760</v>
      </c>
      <c r="D13" s="4">
        <f t="shared" si="0"/>
        <v>4.5</v>
      </c>
      <c r="E13" s="38">
        <f t="shared" si="1"/>
        <v>4.5</v>
      </c>
      <c r="F13" s="37">
        <f t="shared" si="2"/>
        <v>0</v>
      </c>
      <c r="G13" s="37">
        <f t="shared" si="3"/>
        <v>0</v>
      </c>
      <c r="H13" s="37">
        <f ca="1">'Pró-labore'!F14+'Pró-labore'!F30</f>
        <v>0</v>
      </c>
      <c r="I13" s="37">
        <f>Despesas!B14</f>
        <v>0</v>
      </c>
      <c r="J13" s="37">
        <f t="shared" ca="1" si="4"/>
        <v>0</v>
      </c>
      <c r="K13" s="37">
        <f t="shared" ca="1" si="5"/>
        <v>0</v>
      </c>
    </row>
    <row r="14" spans="1:11" ht="14.25" customHeight="1" x14ac:dyDescent="0.3">
      <c r="F14" s="37"/>
      <c r="G14" s="37"/>
      <c r="H14" s="37"/>
      <c r="I14" s="37"/>
      <c r="J14" s="37">
        <f t="shared" si="4"/>
        <v>0</v>
      </c>
      <c r="K14" s="37">
        <f ca="1">SUM(K2:K13)</f>
        <v>331.00809761845608</v>
      </c>
    </row>
    <row r="15" spans="1:11" ht="14.25" customHeight="1" x14ac:dyDescent="0.3"/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workbookViewId="0">
      <selection activeCell="E12" sqref="E12"/>
    </sheetView>
  </sheetViews>
  <sheetFormatPr defaultColWidth="14.44140625" defaultRowHeight="15" customHeight="1" x14ac:dyDescent="0.3"/>
  <cols>
    <col min="1" max="1" width="9.88671875" customWidth="1"/>
    <col min="2" max="2" width="18" customWidth="1"/>
    <col min="3" max="3" width="15" customWidth="1"/>
    <col min="4" max="4" width="19.109375" customWidth="1"/>
    <col min="5" max="5" width="15" customWidth="1"/>
    <col min="6" max="6" width="16" customWidth="1"/>
    <col min="7" max="7" width="18" customWidth="1"/>
    <col min="8" max="11" width="15" customWidth="1"/>
    <col min="12" max="12" width="16.33203125" customWidth="1"/>
    <col min="13" max="26" width="8.6640625" customWidth="1"/>
  </cols>
  <sheetData>
    <row r="1" spans="1:12" ht="14.25" customHeight="1" x14ac:dyDescent="0.3">
      <c r="A1" s="1" t="s">
        <v>16</v>
      </c>
      <c r="B1" s="35" t="s">
        <v>119</v>
      </c>
      <c r="C1" s="35" t="s">
        <v>120</v>
      </c>
      <c r="D1" s="36" t="s">
        <v>121</v>
      </c>
      <c r="E1" s="36" t="s">
        <v>4</v>
      </c>
      <c r="F1" s="36" t="s">
        <v>5</v>
      </c>
      <c r="G1" s="36" t="s">
        <v>6</v>
      </c>
      <c r="H1" s="36" t="s">
        <v>7</v>
      </c>
      <c r="I1" s="39" t="s">
        <v>8</v>
      </c>
      <c r="J1" s="39" t="s">
        <v>9</v>
      </c>
      <c r="K1" s="39"/>
      <c r="L1" s="39"/>
    </row>
    <row r="2" spans="1:12" ht="14.25" customHeight="1" x14ac:dyDescent="0.3">
      <c r="A2" s="40">
        <v>45658</v>
      </c>
      <c r="B2" s="37">
        <f t="array" aca="1" ref="B2" ca="1">IFERROR(INDEX(DRE!$J:$J, MATCH($A2, DRE!$A:$A, 0)) * 5%, 0)</f>
        <v>0</v>
      </c>
      <c r="C2" s="37">
        <f t="array" aca="1" ref="C2" ca="1">IFERROR(INDEX(DRE!$J:$J, MATCH($A2, DRE!$A:$A, 0)) * 10%, 0)</f>
        <v>0</v>
      </c>
      <c r="D2" s="37">
        <f t="array" aca="1" ref="D2" ca="1">IFERROR(
  INDEX(DRE!$J:$J, MATCH($A2, DRE!$A:$A, 0)) * 85% *
  SUMPRODUCT(
    (MONTH(Entradas!$B$2:$B$100) = MONTH($A2)) *
    (YEAR(Entradas!$B$2:$B$100) = YEAR($A2)) *
    (Entradas!$C$2:$C$100) *
    (Entradas!D$2:D$100)
  )
  /
  SUMPRODUCT(
    (MONTH(Entradas!$B$2:$B$100) = MONTH($A2)) *
    (YEAR(Entradas!$B$2:$B$100) = YEAR($A2)) *
    (Entradas!$C$2:$C$100)
  ), 0)</f>
        <v>0</v>
      </c>
      <c r="E2" s="37">
        <f t="array" aca="1" ref="E2" ca="1">IFERROR(
  INDEX(DRE!$J:$J, MATCH($A2, DRE!$A:$A, 0)) * 85% *
  SUMPRODUCT(
    (MONTH(Entradas!$B$2:$B$100)=MONTH($A2)) *
    (YEAR(Entradas!$B$2:$B$100)=YEAR($A2)) *
    (Entradas!$C$2:$C$100) *
    (Entradas!E$2:E$100)
  )
  /
  SUMPRODUCT(
    (MONTH(Entradas!$B$2:$B$100)=MONTH($A2)) *
    (YEAR(Entradas!$B$2:$B$100)=YEAR($A2)) *
    (Entradas!$C$2:$C$100)
  ), 0)</f>
        <v>0</v>
      </c>
      <c r="F2" s="37">
        <f t="array" aca="1" ref="F2" ca="1">IFERROR(
  INDEX(DRE!$J:$J, MATCH($A2, DRE!$A:$A, 0)) * 85% *
  SUMPRODUCT(
    (MONTH(Entradas!$B$2:$B$100)=MONTH($A2)) *
    (YEAR(Entradas!$B$2:$B$100)=YEAR($A2)) *
    (Entradas!$C$2:$C$100) *
    (Entradas!F$2:F$100)
  )
  /
  SUMPRODUCT(
    (MONTH(Entradas!$B$2:$B$100)=MONTH($A2)) *
    (YEAR(Entradas!$B$2:$B$100)=YEAR($A2)) *
    (Entradas!$C$2:$C$100)
  ), 0)</f>
        <v>0</v>
      </c>
      <c r="G2" s="37">
        <f t="array" aca="1" ref="G2" ca="1">IFERROR(
  INDEX(DRE!$J:$J, MATCH($A2, DRE!$A:$A, 0)) * 85% *
  SUMPRODUCT(
    (MONTH(Entradas!$B$2:$B$100)=MONTH($A2)) *
    (YEAR(Entradas!$B$2:$B$100)=YEAR($A2)) *
    (Entradas!$C$2:$C$100) *
    (Entradas!G$2:G$100)
  )
  /
  SUMPRODUCT(
    (MONTH(Entradas!$B$2:$B$100)=MONTH($A2)) *
    (YEAR(Entradas!$B$2:$B$100)=YEAR($A2)) *
    (Entradas!$C$2:$C$100)
  ), 0)</f>
        <v>0</v>
      </c>
      <c r="H2" s="37">
        <f t="array" aca="1" ref="H2" ca="1">IFERROR(
  INDEX(DRE!$J:$J, MATCH($A2, DRE!$A:$A, 0)) * 85% *
  SUMPRODUCT(
    (MONTH(Entradas!$B$2:$B$100)=MONTH($A2)) *
    (YEAR(Entradas!$B$2:$B$100)=YEAR($A2)) *
    (Entradas!$C$2:$C$100) *
    (Entradas!H$2:H$100)
  )
  /
  SUMPRODUCT(
    (MONTH(Entradas!$B$2:$B$100)=MONTH($A2)) *
    (YEAR(Entradas!$B$2:$B$100)=YEAR($A2)) *
    (Entradas!$C$2:$C$100)
  ), 0)</f>
        <v>0</v>
      </c>
      <c r="I2" s="37">
        <f t="array" aca="1" ref="I2" ca="1">IFERROR(
  INDEX(DRE!$J:$J, MATCH($A2, DRE!$A:$A, 0)) * 85% *
  SUMPRODUCT(
    (MONTH(Entradas!$B$2:$B$100)=MONTH($A2)) *
    (YEAR(Entradas!$B$2:$B$100)=YEAR($A2)) *
    (Entradas!$C$2:$C$100) *
    (Entradas!I$2:I$100)
  )
  /
  SUMPRODUCT(
    (MONTH(Entradas!$B$2:$B$100)=MONTH($A2)) *
    (YEAR(Entradas!$B$2:$B$100)=YEAR($A2)) *
    (Entradas!$C$2:$C$100)
  ), 0)</f>
        <v>0</v>
      </c>
      <c r="J2" s="37">
        <f t="array" aca="1" ref="J2" ca="1">IFERROR(
  INDEX(DRE!$J:$J, MATCH($A2, DRE!$A:$A, 0)) * 85% *
  SUMPRODUCT(
    (MONTH(Entradas!$B$2:$B$100)=MONTH($A2)) *
    (YEAR(Entradas!$B$2:$B$100)=YEAR($A2)) *
    (Entradas!$C$2:$C$100) *
    (Entradas!J$2:J$100)
  )
  /
  SUMPRODUCT(
    (MONTH(Entradas!$B$2:$B$100)=MONTH($A2)) *
    (YEAR(Entradas!$B$2:$B$100)=YEAR($A2)) *
    (Entradas!$C$2:$C$100)
  ), 0)</f>
        <v>0</v>
      </c>
      <c r="K2" s="37">
        <f t="array" aca="1" ref="K2" ca="1">IFERROR(
  INDEX(DRE!$J:$J, MATCH($A2, DRE!$A:$A, 0)) * 85% *
  SUMPRODUCT(
    (MONTH(Entradas!$B$2:$B$100)=MONTH($A2)) *
    (YEAR(Entradas!$B$2:$B$100)=YEAR($A2)) *
    (Entradas!$C$2:$C$100) *
    (Entradas!K$2:K$100)
  )
  /
  SUMPRODUCT(
    (MONTH(Entradas!$B$2:$B$100)=MONTH($A2)) *
    (YEAR(Entradas!$B$2:$B$100)=YEAR($A2)) *
    (Entradas!$C$2:$C$100)
  ), 0)</f>
        <v>0</v>
      </c>
      <c r="L2" s="37">
        <f t="array" aca="1" ref="L2" ca="1">IFERROR(
  INDEX(DRE!$J:$J, MATCH($A2, DRE!$A:$A, 0)) * 85% *
  SUMPRODUCT(
    (MONTH(Entradas!$B$2:$B$100)=MONTH($A2)) *
    (YEAR(Entradas!$B$2:$B$100)=YEAR($A2)) *
    (Entradas!$C$2:$C$100) *
    (Entradas!L$2:L$100)
  )
  /
  SUMPRODUCT(
    (MONTH(Entradas!$B$2:$B$100)=MONTH($A2)) *
    (YEAR(Entradas!$B$2:$B$100)=YEAR($A2)) *
    (Entradas!$C$2:$C$100)
  ), 0)</f>
        <v>0</v>
      </c>
    </row>
    <row r="3" spans="1:12" ht="14.25" customHeight="1" x14ac:dyDescent="0.3">
      <c r="A3" s="40">
        <v>45689</v>
      </c>
      <c r="B3" s="37">
        <f t="array" aca="1" ref="B3" ca="1">IFERROR(INDEX(DRE!$J:$J, MATCH($A3, DRE!$A:$A, 0)) * 5%, 0)</f>
        <v>0</v>
      </c>
      <c r="C3" s="37">
        <f t="array" aca="1" ref="C3" ca="1">IFERROR(INDEX(DRE!$J:$J, MATCH($A3, DRE!$A:$A, 0)) * 10%, 0)</f>
        <v>0</v>
      </c>
      <c r="D3" s="37">
        <f t="array" aca="1" ref="D3" ca="1">IFERROR(
  INDEX(DRE!$J:$J, MATCH($A3, DRE!$A:$A, 0)) * 85% *
  SUMPRODUCT(
    (MONTH(Entradas!$B$2:$B$100) = MONTH($A3)) *
    (YEAR(Entradas!$B$2:$B$100) = YEAR($A3)) *
    (Entradas!$C$2:$C$100) *
    (Entradas!D$2:D$100)
  )
  /
  SUMPRODUCT(
    (MONTH(Entradas!$B$2:$B$100) = MONTH($A3)) *
    (YEAR(Entradas!$B$2:$B$100) = YEAR($A3)) *
    (Entradas!$C$2:$C$100)
  ), 0)</f>
        <v>0</v>
      </c>
      <c r="E3" s="37">
        <f t="array" aca="1" ref="E3" ca="1">IFERROR(
  INDEX(DRE!$J:$J, MATCH($A3, DRE!$A:$A, 0)) * 85% *
  SUMPRODUCT(
    (MONTH(Entradas!$B$2:$B$100)=MONTH($A3)) *
    (YEAR(Entradas!$B$2:$B$100)=YEAR($A3)) *
    (Entradas!$C$2:$C$100) *
    (Entradas!E$2:E$100)
  )
  /
  SUMPRODUCT(
    (MONTH(Entradas!$B$2:$B$100)=MONTH($A3)) *
    (YEAR(Entradas!$B$2:$B$100)=YEAR($A3)) *
    (Entradas!$C$2:$C$100)
  ), 0)</f>
        <v>0</v>
      </c>
      <c r="F3" s="37">
        <f t="array" aca="1" ref="F3" ca="1">IFERROR(
  INDEX(DRE!$J:$J, MATCH($A3, DRE!$A:$A, 0)) * 85% *
  SUMPRODUCT(
    (MONTH(Entradas!$B$2:$B$100)=MONTH($A3)) *
    (YEAR(Entradas!$B$2:$B$100)=YEAR($A3)) *
    (Entradas!$C$2:$C$100) *
    (Entradas!F$2:F$100)
  )
  /
  SUMPRODUCT(
    (MONTH(Entradas!$B$2:$B$100)=MONTH($A3)) *
    (YEAR(Entradas!$B$2:$B$100)=YEAR($A3)) *
    (Entradas!$C$2:$C$100)
  ), 0)</f>
        <v>0</v>
      </c>
      <c r="G3" s="37">
        <f t="array" aca="1" ref="G3" ca="1">IFERROR(
  INDEX(DRE!$J:$J, MATCH($A3, DRE!$A:$A, 0)) * 85% *
  SUMPRODUCT(
    (MONTH(Entradas!$B$2:$B$100)=MONTH($A3)) *
    (YEAR(Entradas!$B$2:$B$100)=YEAR($A3)) *
    (Entradas!$C$2:$C$100) *
    (Entradas!G$2:G$100)
  )
  /
  SUMPRODUCT(
    (MONTH(Entradas!$B$2:$B$100)=MONTH($A3)) *
    (YEAR(Entradas!$B$2:$B$100)=YEAR($A3)) *
    (Entradas!$C$2:$C$100)
  ), 0)</f>
        <v>0</v>
      </c>
      <c r="H3" s="37">
        <f t="array" aca="1" ref="H3" ca="1">IFERROR(
  INDEX(DRE!$J:$J, MATCH($A3, DRE!$A:$A, 0)) * 85% *
  SUMPRODUCT(
    (MONTH(Entradas!$B$2:$B$100)=MONTH($A3)) *
    (YEAR(Entradas!$B$2:$B$100)=YEAR($A3)) *
    (Entradas!$C$2:$C$100) *
    (Entradas!H$2:H$100)
  )
  /
  SUMPRODUCT(
    (MONTH(Entradas!$B$2:$B$100)=MONTH($A3)) *
    (YEAR(Entradas!$B$2:$B$100)=YEAR($A3)) *
    (Entradas!$C$2:$C$100)
  ), 0)</f>
        <v>0</v>
      </c>
      <c r="I3" s="37">
        <f t="array" aca="1" ref="I3" ca="1">IFERROR(
  INDEX(DRE!$J:$J, MATCH($A3, DRE!$A:$A, 0)) * 85% *
  SUMPRODUCT(
    (MONTH(Entradas!$B$2:$B$100)=MONTH($A3)) *
    (YEAR(Entradas!$B$2:$B$100)=YEAR($A3)) *
    (Entradas!$C$2:$C$100) *
    (Entradas!I$2:I$100)
  )
  /
  SUMPRODUCT(
    (MONTH(Entradas!$B$2:$B$100)=MONTH($A3)) *
    (YEAR(Entradas!$B$2:$B$100)=YEAR($A3)) *
    (Entradas!$C$2:$C$100)
  ), 0)</f>
        <v>0</v>
      </c>
      <c r="J3" s="37">
        <f t="array" aca="1" ref="J3" ca="1">IFERROR(
  INDEX(DRE!$J:$J, MATCH($A3, DRE!$A:$A, 0)) * 85% *
  SUMPRODUCT(
    (MONTH(Entradas!$B$2:$B$100)=MONTH($A3)) *
    (YEAR(Entradas!$B$2:$B$100)=YEAR($A3)) *
    (Entradas!$C$2:$C$100) *
    (Entradas!J$2:J$100)
  )
  /
  SUMPRODUCT(
    (MONTH(Entradas!$B$2:$B$100)=MONTH($A3)) *
    (YEAR(Entradas!$B$2:$B$100)=YEAR($A3)) *
    (Entradas!$C$2:$C$100)
  ), 0)</f>
        <v>0</v>
      </c>
      <c r="K3" s="37">
        <f t="array" aca="1" ref="K3" ca="1">IFERROR(
  INDEX(DRE!$J:$J, MATCH($A3, DRE!$A:$A, 0)) * 85% *
  SUMPRODUCT(
    (MONTH(Entradas!$B$2:$B$100)=MONTH($A3)) *
    (YEAR(Entradas!$B$2:$B$100)=YEAR($A3)) *
    (Entradas!$C$2:$C$100) *
    (Entradas!K$2:K$100)
  )
  /
  SUMPRODUCT(
    (MONTH(Entradas!$B$2:$B$100)=MONTH($A3)) *
    (YEAR(Entradas!$B$2:$B$100)=YEAR($A3)) *
    (Entradas!$C$2:$C$100)
  ), 0)</f>
        <v>0</v>
      </c>
      <c r="L3" s="37">
        <f t="array" aca="1" ref="L3" ca="1">IFERROR(
  INDEX(DRE!$J:$J, MATCH($A3, DRE!$A:$A, 0)) * 85% *
  SUMPRODUCT(
    (MONTH(Entradas!$B$2:$B$100)=MONTH($A3)) *
    (YEAR(Entradas!$B$2:$B$100)=YEAR($A3)) *
    (Entradas!$C$2:$C$100) *
    (Entradas!L$2:L$100)
  )
  /
  SUMPRODUCT(
    (MONTH(Entradas!$B$2:$B$100)=MONTH($A3)) *
    (YEAR(Entradas!$B$2:$B$100)=YEAR($A3)) *
    (Entradas!$C$2:$C$100)
  ), 0)</f>
        <v>0</v>
      </c>
    </row>
    <row r="4" spans="1:12" ht="14.25" customHeight="1" x14ac:dyDescent="0.3">
      <c r="A4" s="40">
        <v>45717</v>
      </c>
      <c r="B4" s="37">
        <f t="array" aca="1" ref="B4" ca="1">IFERROR(INDEX(DRE!$J:$J, MATCH($A4, DRE!$A:$A, 0)) * 5%, 0)</f>
        <v>0</v>
      </c>
      <c r="C4" s="37">
        <f t="array" aca="1" ref="C4" ca="1">IFERROR(INDEX(DRE!$J:$J, MATCH($A4, DRE!$A:$A, 0)) * 10%, 0)</f>
        <v>0</v>
      </c>
      <c r="D4" s="37">
        <f t="array" aca="1" ref="D4" ca="1">IFERROR(
  INDEX(DRE!$J:$J, MATCH($A4, DRE!$A:$A, 0)) * 85% *
  SUMPRODUCT(
    (MONTH(Entradas!$B$2:$B$100) = MONTH($A4)) *
    (YEAR(Entradas!$B$2:$B$100) = YEAR($A4)) *
    (Entradas!$C$2:$C$100) *
    (Entradas!D$2:D$100)
  )
  /
  SUMPRODUCT(
    (MONTH(Entradas!$B$2:$B$100) = MONTH($A4)) *
    (YEAR(Entradas!$B$2:$B$100) = YEAR($A4)) *
    (Entradas!$C$2:$C$100)
  ), 0)</f>
        <v>0</v>
      </c>
      <c r="E4" s="37">
        <f t="array" aca="1" ref="E4" ca="1">IFERROR(
  INDEX(DRE!$J:$J, MATCH($A4, DRE!$A:$A, 0)) * 85% *
  SUMPRODUCT(
    (MONTH(Entradas!$B$2:$B$100)=MONTH($A4)) *
    (YEAR(Entradas!$B$2:$B$100)=YEAR($A4)) *
    (Entradas!$C$2:$C$100) *
    (Entradas!E$2:E$100)
  )
  /
  SUMPRODUCT(
    (MONTH(Entradas!$B$2:$B$100)=MONTH($A4)) *
    (YEAR(Entradas!$B$2:$B$100)=YEAR($A4)) *
    (Entradas!$C$2:$C$100)
  ), 0)</f>
        <v>0</v>
      </c>
      <c r="F4" s="37">
        <f t="array" aca="1" ref="F4" ca="1">IFERROR(
  INDEX(DRE!$J:$J, MATCH($A4, DRE!$A:$A, 0)) * 85% *
  SUMPRODUCT(
    (MONTH(Entradas!$B$2:$B$100)=MONTH($A4)) *
    (YEAR(Entradas!$B$2:$B$100)=YEAR($A4)) *
    (Entradas!$C$2:$C$100) *
    (Entradas!F$2:F$100)
  )
  /
  SUMPRODUCT(
    (MONTH(Entradas!$B$2:$B$100)=MONTH($A4)) *
    (YEAR(Entradas!$B$2:$B$100)=YEAR($A4)) *
    (Entradas!$C$2:$C$100)
  ), 0)</f>
        <v>0</v>
      </c>
      <c r="G4" s="37">
        <f t="array" aca="1" ref="G4" ca="1">IFERROR(
  INDEX(DRE!$J:$J, MATCH($A4, DRE!$A:$A, 0)) * 85% *
  SUMPRODUCT(
    (MONTH(Entradas!$B$2:$B$100)=MONTH($A4)) *
    (YEAR(Entradas!$B$2:$B$100)=YEAR($A4)) *
    (Entradas!$C$2:$C$100) *
    (Entradas!G$2:G$100)
  )
  /
  SUMPRODUCT(
    (MONTH(Entradas!$B$2:$B$100)=MONTH($A4)) *
    (YEAR(Entradas!$B$2:$B$100)=YEAR($A4)) *
    (Entradas!$C$2:$C$100)
  ), 0)</f>
        <v>0</v>
      </c>
      <c r="H4" s="37">
        <f t="array" aca="1" ref="H4" ca="1">IFERROR(
  INDEX(DRE!$J:$J, MATCH($A4, DRE!$A:$A, 0)) * 85% *
  SUMPRODUCT(
    (MONTH(Entradas!$B$2:$B$100)=MONTH($A4)) *
    (YEAR(Entradas!$B$2:$B$100)=YEAR($A4)) *
    (Entradas!$C$2:$C$100) *
    (Entradas!H$2:H$100)
  )
  /
  SUMPRODUCT(
    (MONTH(Entradas!$B$2:$B$100)=MONTH($A4)) *
    (YEAR(Entradas!$B$2:$B$100)=YEAR($A4)) *
    (Entradas!$C$2:$C$100)
  ), 0)</f>
        <v>0</v>
      </c>
      <c r="I4" s="37">
        <f t="array" aca="1" ref="I4" ca="1">IFERROR(
  INDEX(DRE!$J:$J, MATCH($A4, DRE!$A:$A, 0)) * 85% *
  SUMPRODUCT(
    (MONTH(Entradas!$B$2:$B$100)=MONTH($A4)) *
    (YEAR(Entradas!$B$2:$B$100)=YEAR($A4)) *
    (Entradas!$C$2:$C$100) *
    (Entradas!I$2:I$100)
  )
  /
  SUMPRODUCT(
    (MONTH(Entradas!$B$2:$B$100)=MONTH($A4)) *
    (YEAR(Entradas!$B$2:$B$100)=YEAR($A4)) *
    (Entradas!$C$2:$C$100)
  ), 0)</f>
        <v>0</v>
      </c>
      <c r="J4" s="37">
        <f t="array" aca="1" ref="J4" ca="1">IFERROR(
  INDEX(DRE!$J:$J, MATCH($A4, DRE!$A:$A, 0)) * 85% *
  SUMPRODUCT(
    (MONTH(Entradas!$B$2:$B$100)=MONTH($A4)) *
    (YEAR(Entradas!$B$2:$B$100)=YEAR($A4)) *
    (Entradas!$C$2:$C$100) *
    (Entradas!J$2:J$100)
  )
  /
  SUMPRODUCT(
    (MONTH(Entradas!$B$2:$B$100)=MONTH($A4)) *
    (YEAR(Entradas!$B$2:$B$100)=YEAR($A4)) *
    (Entradas!$C$2:$C$100)
  ), 0)</f>
        <v>0</v>
      </c>
      <c r="K4" s="37">
        <f t="array" aca="1" ref="K4" ca="1">IFERROR(
  INDEX(DRE!$J:$J, MATCH($A4, DRE!$A:$A, 0)) * 85% *
  SUMPRODUCT(
    (MONTH(Entradas!$B$2:$B$100)=MONTH($A4)) *
    (YEAR(Entradas!$B$2:$B$100)=YEAR($A4)) *
    (Entradas!$C$2:$C$100) *
    (Entradas!K$2:K$100)
  )
  /
  SUMPRODUCT(
    (MONTH(Entradas!$B$2:$B$100)=MONTH($A4)) *
    (YEAR(Entradas!$B$2:$B$100)=YEAR($A4)) *
    (Entradas!$C$2:$C$100)
  ), 0)</f>
        <v>0</v>
      </c>
      <c r="L4" s="37">
        <f t="array" aca="1" ref="L4" ca="1">IFERROR(
  INDEX(DRE!$J:$J, MATCH($A4, DRE!$A:$A, 0)) * 85% *
  SUMPRODUCT(
    (MONTH(Entradas!$B$2:$B$100)=MONTH($A4)) *
    (YEAR(Entradas!$B$2:$B$100)=YEAR($A4)) *
    (Entradas!$C$2:$C$100) *
    (Entradas!L$2:L$100)
  )
  /
  SUMPRODUCT(
    (MONTH(Entradas!$B$2:$B$100)=MONTH($A4)) *
    (YEAR(Entradas!$B$2:$B$100)=YEAR($A4)) *
    (Entradas!$C$2:$C$100)
  ), 0)</f>
        <v>0</v>
      </c>
    </row>
    <row r="5" spans="1:12" ht="14.25" customHeight="1" x14ac:dyDescent="0.3">
      <c r="A5" s="40">
        <v>45748</v>
      </c>
      <c r="B5" s="37">
        <f t="array" aca="1" ref="B5" ca="1">IFERROR(INDEX(DRE!$J:$J, MATCH($A5, DRE!$A:$A, 0)) * 5%, 0)</f>
        <v>0</v>
      </c>
      <c r="C5" s="37">
        <f t="array" aca="1" ref="C5" ca="1">IFERROR(INDEX(DRE!$J:$J, MATCH($A5, DRE!$A:$A, 0)) * 10%, 0)</f>
        <v>0</v>
      </c>
      <c r="D5" s="37">
        <f t="array" aca="1" ref="D5" ca="1">IFERROR(
  INDEX(DRE!$J:$J, MATCH($A5, DRE!$A:$A, 0)) * 85% *
  SUMPRODUCT(
    (MONTH(Entradas!$B$2:$B$100) = MONTH($A5)) *
    (YEAR(Entradas!$B$2:$B$100) = YEAR($A5)) *
    (Entradas!$C$2:$C$100) *
    (Entradas!D$2:D$100)
  )
  /
  SUMPRODUCT(
    (MONTH(Entradas!$B$2:$B$100) = MONTH($A5)) *
    (YEAR(Entradas!$B$2:$B$100) = YEAR($A5)) *
    (Entradas!$C$2:$C$100)
  ), 0)</f>
        <v>0</v>
      </c>
      <c r="E5" s="37">
        <f t="array" aca="1" ref="E5" ca="1">IFERROR(
  INDEX(DRE!$J:$J, MATCH($A5, DRE!$A:$A, 0)) * 85% *
  SUMPRODUCT(
    (MONTH(Entradas!$B$2:$B$100)=MONTH($A5)) *
    (YEAR(Entradas!$B$2:$B$100)=YEAR($A5)) *
    (Entradas!$C$2:$C$100) *
    (Entradas!E$2:E$100)
  )
  /
  SUMPRODUCT(
    (MONTH(Entradas!$B$2:$B$100)=MONTH($A5)) *
    (YEAR(Entradas!$B$2:$B$100)=YEAR($A5)) *
    (Entradas!$C$2:$C$100)
  ), 0)</f>
        <v>0</v>
      </c>
      <c r="F5" s="37">
        <f t="array" aca="1" ref="F5" ca="1">IFERROR(
  INDEX(DRE!$J:$J, MATCH($A5, DRE!$A:$A, 0)) * 85% *
  SUMPRODUCT(
    (MONTH(Entradas!$B$2:$B$100)=MONTH($A5)) *
    (YEAR(Entradas!$B$2:$B$100)=YEAR($A5)) *
    (Entradas!$C$2:$C$100) *
    (Entradas!F$2:F$100)
  )
  /
  SUMPRODUCT(
    (MONTH(Entradas!$B$2:$B$100)=MONTH($A5)) *
    (YEAR(Entradas!$B$2:$B$100)=YEAR($A5)) *
    (Entradas!$C$2:$C$100)
  ), 0)</f>
        <v>0</v>
      </c>
      <c r="G5" s="37">
        <f t="array" aca="1" ref="G5" ca="1">IFERROR(
  INDEX(DRE!$J:$J, MATCH($A5, DRE!$A:$A, 0)) * 85% *
  SUMPRODUCT(
    (MONTH(Entradas!$B$2:$B$100)=MONTH($A5)) *
    (YEAR(Entradas!$B$2:$B$100)=YEAR($A5)) *
    (Entradas!$C$2:$C$100) *
    (Entradas!G$2:G$100)
  )
  /
  SUMPRODUCT(
    (MONTH(Entradas!$B$2:$B$100)=MONTH($A5)) *
    (YEAR(Entradas!$B$2:$B$100)=YEAR($A5)) *
    (Entradas!$C$2:$C$100)
  ), 0)</f>
        <v>0</v>
      </c>
      <c r="H5" s="37">
        <f t="array" aca="1" ref="H5" ca="1">IFERROR(
  INDEX(DRE!$J:$J, MATCH($A5, DRE!$A:$A, 0)) * 85% *
  SUMPRODUCT(
    (MONTH(Entradas!$B$2:$B$100)=MONTH($A5)) *
    (YEAR(Entradas!$B$2:$B$100)=YEAR($A5)) *
    (Entradas!$C$2:$C$100) *
    (Entradas!H$2:H$100)
  )
  /
  SUMPRODUCT(
    (MONTH(Entradas!$B$2:$B$100)=MONTH($A5)) *
    (YEAR(Entradas!$B$2:$B$100)=YEAR($A5)) *
    (Entradas!$C$2:$C$100)
  ), 0)</f>
        <v>0</v>
      </c>
      <c r="I5" s="37">
        <f t="array" aca="1" ref="I5" ca="1">IFERROR(
  INDEX(DRE!$J:$J, MATCH($A5, DRE!$A:$A, 0)) * 85% *
  SUMPRODUCT(
    (MONTH(Entradas!$B$2:$B$100)=MONTH($A5)) *
    (YEAR(Entradas!$B$2:$B$100)=YEAR($A5)) *
    (Entradas!$C$2:$C$100) *
    (Entradas!I$2:I$100)
  )
  /
  SUMPRODUCT(
    (MONTH(Entradas!$B$2:$B$100)=MONTH($A5)) *
    (YEAR(Entradas!$B$2:$B$100)=YEAR($A5)) *
    (Entradas!$C$2:$C$100)
  ), 0)</f>
        <v>0</v>
      </c>
      <c r="J5" s="37">
        <f t="array" aca="1" ref="J5" ca="1">IFERROR(
  INDEX(DRE!$J:$J, MATCH($A5, DRE!$A:$A, 0)) * 85% *
  SUMPRODUCT(
    (MONTH(Entradas!$B$2:$B$100)=MONTH($A5)) *
    (YEAR(Entradas!$B$2:$B$100)=YEAR($A5)) *
    (Entradas!$C$2:$C$100) *
    (Entradas!J$2:J$100)
  )
  /
  SUMPRODUCT(
    (MONTH(Entradas!$B$2:$B$100)=MONTH($A5)) *
    (YEAR(Entradas!$B$2:$B$100)=YEAR($A5)) *
    (Entradas!$C$2:$C$100)
  ), 0)</f>
        <v>0</v>
      </c>
      <c r="K5" s="37">
        <f t="array" aca="1" ref="K5" ca="1">IFERROR(
  INDEX(DRE!$J:$J, MATCH($A5, DRE!$A:$A, 0)) * 85% *
  SUMPRODUCT(
    (MONTH(Entradas!$B$2:$B$100)=MONTH($A5)) *
    (YEAR(Entradas!$B$2:$B$100)=YEAR($A5)) *
    (Entradas!$C$2:$C$100) *
    (Entradas!K$2:K$100)
  )
  /
  SUMPRODUCT(
    (MONTH(Entradas!$B$2:$B$100)=MONTH($A5)) *
    (YEAR(Entradas!$B$2:$B$100)=YEAR($A5)) *
    (Entradas!$C$2:$C$100)
  ), 0)</f>
        <v>0</v>
      </c>
      <c r="L5" s="37">
        <f t="array" aca="1" ref="L5" ca="1">IFERROR(
  INDEX(DRE!$J:$J, MATCH($A5, DRE!$A:$A, 0)) * 85% *
  SUMPRODUCT(
    (MONTH(Entradas!$B$2:$B$100)=MONTH($A5)) *
    (YEAR(Entradas!$B$2:$B$100)=YEAR($A5)) *
    (Entradas!$C$2:$C$100) *
    (Entradas!L$2:L$100)
  )
  /
  SUMPRODUCT(
    (MONTH(Entradas!$B$2:$B$100)=MONTH($A5)) *
    (YEAR(Entradas!$B$2:$B$100)=YEAR($A5)) *
    (Entradas!$C$2:$C$100)
  ), 0)</f>
        <v>0</v>
      </c>
    </row>
    <row r="6" spans="1:12" ht="14.25" customHeight="1" x14ac:dyDescent="0.3">
      <c r="A6" s="40">
        <v>45778</v>
      </c>
      <c r="B6" s="37">
        <f t="array" aca="1" ref="B6" ca="1">IFERROR(INDEX(DRE!$J:$J, MATCH($A6, DRE!$A:$A, 0)) * 5%, 0)</f>
        <v>0</v>
      </c>
      <c r="C6" s="37">
        <f t="array" aca="1" ref="C6" ca="1">IFERROR(INDEX(DRE!$J:$J, MATCH($A6, DRE!$A:$A, 0)) * 10%, 0)</f>
        <v>0</v>
      </c>
      <c r="D6" s="37">
        <f t="array" aca="1" ref="D6" ca="1">IFERROR(
  INDEX(DRE!$J:$J, MATCH($A6, DRE!$A:$A, 0)) * 85% *
  SUMPRODUCT(
    (MONTH(Entradas!$B$2:$B$100) = MONTH($A6)) *
    (YEAR(Entradas!$B$2:$B$100) = YEAR($A6)) *
    (Entradas!$C$2:$C$100) *
    (Entradas!D$2:D$100)
  )
  /
  SUMPRODUCT(
    (MONTH(Entradas!$B$2:$B$100) = MONTH($A6)) *
    (YEAR(Entradas!$B$2:$B$100) = YEAR($A6)) *
    (Entradas!$C$2:$C$100)
  ), 0)</f>
        <v>0</v>
      </c>
      <c r="E6" s="37">
        <f t="array" aca="1" ref="E6" ca="1">IFERROR(
  INDEX(DRE!$J:$J, MATCH($A6, DRE!$A:$A, 0)) * 85% *
  SUMPRODUCT(
    (MONTH(Entradas!$B$2:$B$100)=MONTH($A6)) *
    (YEAR(Entradas!$B$2:$B$100)=YEAR($A6)) *
    (Entradas!$C$2:$C$100) *
    (Entradas!E$2:E$100)
  )
  /
  SUMPRODUCT(
    (MONTH(Entradas!$B$2:$B$100)=MONTH($A6)) *
    (YEAR(Entradas!$B$2:$B$100)=YEAR($A6)) *
    (Entradas!$C$2:$C$100)
  ), 0)</f>
        <v>0</v>
      </c>
      <c r="F6" s="37">
        <f t="array" aca="1" ref="F6" ca="1">IFERROR(
  INDEX(DRE!$J:$J, MATCH($A6, DRE!$A:$A, 0)) * 85% *
  SUMPRODUCT(
    (MONTH(Entradas!$B$2:$B$100)=MONTH($A6)) *
    (YEAR(Entradas!$B$2:$B$100)=YEAR($A6)) *
    (Entradas!$C$2:$C$100) *
    (Entradas!F$2:F$100)
  )
  /
  SUMPRODUCT(
    (MONTH(Entradas!$B$2:$B$100)=MONTH($A6)) *
    (YEAR(Entradas!$B$2:$B$100)=YEAR($A6)) *
    (Entradas!$C$2:$C$100)
  ), 0)</f>
        <v>0</v>
      </c>
      <c r="G6" s="37">
        <f t="array" aca="1" ref="G6" ca="1">IFERROR(
  INDEX(DRE!$J:$J, MATCH($A6, DRE!$A:$A, 0)) * 85% *
  SUMPRODUCT(
    (MONTH(Entradas!$B$2:$B$100)=MONTH($A6)) *
    (YEAR(Entradas!$B$2:$B$100)=YEAR($A6)) *
    (Entradas!$C$2:$C$100) *
    (Entradas!G$2:G$100)
  )
  /
  SUMPRODUCT(
    (MONTH(Entradas!$B$2:$B$100)=MONTH($A6)) *
    (YEAR(Entradas!$B$2:$B$100)=YEAR($A6)) *
    (Entradas!$C$2:$C$100)
  ), 0)</f>
        <v>0</v>
      </c>
      <c r="H6" s="37">
        <f t="array" aca="1" ref="H6" ca="1">IFERROR(
  INDEX(DRE!$J:$J, MATCH($A6, DRE!$A:$A, 0)) * 85% *
  SUMPRODUCT(
    (MONTH(Entradas!$B$2:$B$100)=MONTH($A6)) *
    (YEAR(Entradas!$B$2:$B$100)=YEAR($A6)) *
    (Entradas!$C$2:$C$100) *
    (Entradas!H$2:H$100)
  )
  /
  SUMPRODUCT(
    (MONTH(Entradas!$B$2:$B$100)=MONTH($A6)) *
    (YEAR(Entradas!$B$2:$B$100)=YEAR($A6)) *
    (Entradas!$C$2:$C$100)
  ), 0)</f>
        <v>0</v>
      </c>
      <c r="I6" s="37">
        <f t="array" aca="1" ref="I6" ca="1">IFERROR(
  INDEX(DRE!$J:$J, MATCH($A6, DRE!$A:$A, 0)) * 85% *
  SUMPRODUCT(
    (MONTH(Entradas!$B$2:$B$100)=MONTH($A6)) *
    (YEAR(Entradas!$B$2:$B$100)=YEAR($A6)) *
    (Entradas!$C$2:$C$100) *
    (Entradas!I$2:I$100)
  )
  /
  SUMPRODUCT(
    (MONTH(Entradas!$B$2:$B$100)=MONTH($A6)) *
    (YEAR(Entradas!$B$2:$B$100)=YEAR($A6)) *
    (Entradas!$C$2:$C$100)
  ), 0)</f>
        <v>0</v>
      </c>
      <c r="J6" s="37">
        <f t="array" aca="1" ref="J6" ca="1">IFERROR(
  INDEX(DRE!$J:$J, MATCH($A6, DRE!$A:$A, 0)) * 85% *
  SUMPRODUCT(
    (MONTH(Entradas!$B$2:$B$100)=MONTH($A6)) *
    (YEAR(Entradas!$B$2:$B$100)=YEAR($A6)) *
    (Entradas!$C$2:$C$100) *
    (Entradas!J$2:J$100)
  )
  /
  SUMPRODUCT(
    (MONTH(Entradas!$B$2:$B$100)=MONTH($A6)) *
    (YEAR(Entradas!$B$2:$B$100)=YEAR($A6)) *
    (Entradas!$C$2:$C$100)
  ), 0)</f>
        <v>0</v>
      </c>
      <c r="K6" s="37">
        <f t="array" aca="1" ref="K6" ca="1">IFERROR(
  INDEX(DRE!$J:$J, MATCH($A6, DRE!$A:$A, 0)) * 85% *
  SUMPRODUCT(
    (MONTH(Entradas!$B$2:$B$100)=MONTH($A6)) *
    (YEAR(Entradas!$B$2:$B$100)=YEAR($A6)) *
    (Entradas!$C$2:$C$100) *
    (Entradas!K$2:K$100)
  )
  /
  SUMPRODUCT(
    (MONTH(Entradas!$B$2:$B$100)=MONTH($A6)) *
    (YEAR(Entradas!$B$2:$B$100)=YEAR($A6)) *
    (Entradas!$C$2:$C$100)
  ), 0)</f>
        <v>0</v>
      </c>
      <c r="L6" s="37">
        <f t="array" aca="1" ref="L6" ca="1">IFERROR(
  INDEX(DRE!$J:$J, MATCH($A6, DRE!$A:$A, 0)) * 85% *
  SUMPRODUCT(
    (MONTH(Entradas!$B$2:$B$100)=MONTH($A6)) *
    (YEAR(Entradas!$B$2:$B$100)=YEAR($A6)) *
    (Entradas!$C$2:$C$100) *
    (Entradas!L$2:L$100)
  )
  /
  SUMPRODUCT(
    (MONTH(Entradas!$B$2:$B$100)=MONTH($A6)) *
    (YEAR(Entradas!$B$2:$B$100)=YEAR($A6)) *
    (Entradas!$C$2:$C$100)
  ), 0)</f>
        <v>0</v>
      </c>
    </row>
    <row r="7" spans="1:12" ht="14.25" customHeight="1" x14ac:dyDescent="0.3">
      <c r="A7" s="40">
        <v>45809</v>
      </c>
      <c r="B7" s="37">
        <f t="array" aca="1" ref="B7" ca="1">IFERROR(INDEX(DRE!$J:$J, MATCH($A7, DRE!$A:$A, 0)) * 5%, 0)</f>
        <v>65.410958904109592</v>
      </c>
      <c r="C7" s="37">
        <f t="array" aca="1" ref="C7" ca="1">IFERROR(INDEX(DRE!$J:$J, MATCH($A7, DRE!$A:$A, 0)) * 10%, 0)</f>
        <v>130.82191780821918</v>
      </c>
      <c r="D7" s="37">
        <f t="array" aca="1" ref="D7" ca="1">IFERROR(
  INDEX(DRE!$J:$J, MATCH($A7, DRE!$A:$A, 0)) * 85% *
  SUMPRODUCT(
    (MONTH(Entradas!$B$2:$B$100) = MONTH($A7)) *
    (YEAR(Entradas!$B$2:$B$100) = YEAR($A7)) *
    (Entradas!$C$2:$C$100) *
    (Entradas!D$2:D$100)
  )
  /
  SUMPRODUCT(
    (MONTH(Entradas!$B$2:$B$100) = MONTH($A7)) *
    (YEAR(Entradas!$B$2:$B$100) = YEAR($A7)) *
    (Entradas!$C$2:$C$100)
  ), 0)</f>
        <v>555.99315068493149</v>
      </c>
      <c r="E7" s="37">
        <f t="array" aca="1" ref="E7" ca="1">IFERROR(
  INDEX(DRE!$J:$J, MATCH($A7, DRE!$A:$A, 0)) * 85% *
  SUMPRODUCT(
    (MONTH(Entradas!$B$2:$B$100)=MONTH($A7)) *
    (YEAR(Entradas!$B$2:$B$100)=YEAR($A7)) *
    (Entradas!$C$2:$C$100) *
    (Entradas!E$2:E$100)
  )
  /
  SUMPRODUCT(
    (MONTH(Entradas!$B$2:$B$100)=MONTH($A7)) *
    (YEAR(Entradas!$B$2:$B$100)=YEAR($A7)) *
    (Entradas!$C$2:$C$100)
  ), 0)</f>
        <v>555.99315068493149</v>
      </c>
      <c r="F7" s="37">
        <f t="array" aca="1" ref="F7" ca="1">IFERROR(
  INDEX(DRE!$J:$J, MATCH($A7, DRE!$A:$A, 0)) * 85% *
  SUMPRODUCT(
    (MONTH(Entradas!$B$2:$B$100)=MONTH($A7)) *
    (YEAR(Entradas!$B$2:$B$100)=YEAR($A7)) *
    (Entradas!$C$2:$C$100) *
    (Entradas!F$2:F$100)
  )
  /
  SUMPRODUCT(
    (MONTH(Entradas!$B$2:$B$100)=MONTH($A7)) *
    (YEAR(Entradas!$B$2:$B$100)=YEAR($A7)) *
    (Entradas!$C$2:$C$100)
  ), 0)</f>
        <v>0</v>
      </c>
      <c r="G7" s="37">
        <f t="array" aca="1" ref="G7" ca="1">IFERROR(
  INDEX(DRE!$J:$J, MATCH($A7, DRE!$A:$A, 0)) * 85% *
  SUMPRODUCT(
    (MONTH(Entradas!$B$2:$B$100)=MONTH($A7)) *
    (YEAR(Entradas!$B$2:$B$100)=YEAR($A7)) *
    (Entradas!$C$2:$C$100) *
    (Entradas!G$2:G$100)
  )
  /
  SUMPRODUCT(
    (MONTH(Entradas!$B$2:$B$100)=MONTH($A7)) *
    (YEAR(Entradas!$B$2:$B$100)=YEAR($A7)) *
    (Entradas!$C$2:$C$100)
  ), 0)</f>
        <v>0</v>
      </c>
      <c r="H7" s="37">
        <f t="array" aca="1" ref="H7" ca="1">IFERROR(
  INDEX(DRE!$J:$J, MATCH($A7, DRE!$A:$A, 0)) * 85% *
  SUMPRODUCT(
    (MONTH(Entradas!$B$2:$B$100)=MONTH($A7)) *
    (YEAR(Entradas!$B$2:$B$100)=YEAR($A7)) *
    (Entradas!$C$2:$C$100) *
    (Entradas!H$2:H$100)
  )
  /
  SUMPRODUCT(
    (MONTH(Entradas!$B$2:$B$100)=MONTH($A7)) *
    (YEAR(Entradas!$B$2:$B$100)=YEAR($A7)) *
    (Entradas!$C$2:$C$100)
  ), 0)</f>
        <v>0</v>
      </c>
      <c r="I7" s="37">
        <f t="array" aca="1" ref="I7" ca="1">IFERROR(
  INDEX(DRE!$J:$J, MATCH($A7, DRE!$A:$A, 0)) * 85% *
  SUMPRODUCT(
    (MONTH(Entradas!$B$2:$B$100)=MONTH($A7)) *
    (YEAR(Entradas!$B$2:$B$100)=YEAR($A7)) *
    (Entradas!$C$2:$C$100) *
    (Entradas!I$2:I$100)
  )
  /
  SUMPRODUCT(
    (MONTH(Entradas!$B$2:$B$100)=MONTH($A7)) *
    (YEAR(Entradas!$B$2:$B$100)=YEAR($A7)) *
    (Entradas!$C$2:$C$100)
  ), 0)</f>
        <v>0</v>
      </c>
      <c r="J7" s="37">
        <f t="array" aca="1" ref="J7" ca="1">IFERROR(
  INDEX(DRE!$J:$J, MATCH($A7, DRE!$A:$A, 0)) * 85% *
  SUMPRODUCT(
    (MONTH(Entradas!$B$2:$B$100)=MONTH($A7)) *
    (YEAR(Entradas!$B$2:$B$100)=YEAR($A7)) *
    (Entradas!$C$2:$C$100) *
    (Entradas!J$2:J$100)
  )
  /
  SUMPRODUCT(
    (MONTH(Entradas!$B$2:$B$100)=MONTH($A7)) *
    (YEAR(Entradas!$B$2:$B$100)=YEAR($A7)) *
    (Entradas!$C$2:$C$100)
  ), 0)</f>
        <v>0</v>
      </c>
      <c r="K7" s="37">
        <f t="array" aca="1" ref="K7" ca="1">IFERROR(
  INDEX(DRE!$J:$J, MATCH($A7, DRE!$A:$A, 0)) * 85% *
  SUMPRODUCT(
    (MONTH(Entradas!$B$2:$B$100)=MONTH($A7)) *
    (YEAR(Entradas!$B$2:$B$100)=YEAR($A7)) *
    (Entradas!$C$2:$C$100) *
    (Entradas!K$2:K$100)
  )
  /
  SUMPRODUCT(
    (MONTH(Entradas!$B$2:$B$100)=MONTH($A7)) *
    (YEAR(Entradas!$B$2:$B$100)=YEAR($A7)) *
    (Entradas!$C$2:$C$100)
  ), 0)</f>
        <v>0</v>
      </c>
      <c r="L7" s="37">
        <f t="array" aca="1" ref="L7" ca="1">IFERROR(
  INDEX(DRE!$J:$J, MATCH($A7, DRE!$A:$A, 0)) * 85% *
  SUMPRODUCT(
    (MONTH(Entradas!$B$2:$B$100)=MONTH($A7)) *
    (YEAR(Entradas!$B$2:$B$100)=YEAR($A7)) *
    (Entradas!$C$2:$C$100) *
    (Entradas!L$2:L$100)
  )
  /
  SUMPRODUCT(
    (MONTH(Entradas!$B$2:$B$100)=MONTH($A7)) *
    (YEAR(Entradas!$B$2:$B$100)=YEAR($A7)) *
    (Entradas!$C$2:$C$100)
  ), 0)</f>
        <v>0</v>
      </c>
    </row>
    <row r="8" spans="1:12" ht="14.25" customHeight="1" x14ac:dyDescent="0.3">
      <c r="A8" s="40">
        <v>45839</v>
      </c>
      <c r="B8" s="37">
        <f t="array" aca="1" ref="B8" ca="1">IFERROR(INDEX(DRE!$J:$J, MATCH($A8, DRE!$A:$A, 0)) * 5%, 0)</f>
        <v>13.353813559322033</v>
      </c>
      <c r="C8" s="37">
        <f t="array" aca="1" ref="C8" ca="1">IFERROR(INDEX(DRE!$J:$J, MATCH($A8, DRE!$A:$A, 0)) * 10%, 0)</f>
        <v>26.707627118644066</v>
      </c>
      <c r="D8" s="37">
        <f t="array" aca="1" ref="D8" ca="1">IFERROR(
  INDEX(DRE!$J:$J, MATCH($A8, DRE!$A:$A, 0)) * 85% *
  SUMPRODUCT(
    (MONTH(Entradas!$B$2:$B$100) = MONTH($A8)) *
    (YEAR(Entradas!$B$2:$B$100) = YEAR($A8)) *
    (Entradas!$C$2:$C$100) *
    (Entradas!D$2:D$100)
  )
  /
  SUMPRODUCT(
    (MONTH(Entradas!$B$2:$B$100) = MONTH($A8)) *
    (YEAR(Entradas!$B$2:$B$100) = YEAR($A8)) *
    (Entradas!$C$2:$C$100)
  ), 0)</f>
        <v>227.01483050847455</v>
      </c>
      <c r="E8" s="37">
        <f t="array" aca="1" ref="E8" ca="1">IFERROR(
  INDEX(DRE!$J:$J, MATCH($A8, DRE!$A:$A, 0)) * 85% *
  SUMPRODUCT(
    (MONTH(Entradas!$B$2:$B$100)=MONTH($A8)) *
    (YEAR(Entradas!$B$2:$B$100)=YEAR($A8)) *
    (Entradas!$C$2:$C$100) *
    (Entradas!E$2:E$100)
  )
  /
  SUMPRODUCT(
    (MONTH(Entradas!$B$2:$B$100)=MONTH($A8)) *
    (YEAR(Entradas!$B$2:$B$100)=YEAR($A8)) *
    (Entradas!$C$2:$C$100)
  ), 0)</f>
        <v>0</v>
      </c>
      <c r="F8" s="37">
        <f t="array" aca="1" ref="F8" ca="1">IFERROR(
  INDEX(DRE!$J:$J, MATCH($A8, DRE!$A:$A, 0)) * 85% *
  SUMPRODUCT(
    (MONTH(Entradas!$B$2:$B$100)=MONTH($A8)) *
    (YEAR(Entradas!$B$2:$B$100)=YEAR($A8)) *
    (Entradas!$C$2:$C$100) *
    (Entradas!F$2:F$100)
  )
  /
  SUMPRODUCT(
    (MONTH(Entradas!$B$2:$B$100)=MONTH($A8)) *
    (YEAR(Entradas!$B$2:$B$100)=YEAR($A8)) *
    (Entradas!$C$2:$C$100)
  ), 0)</f>
        <v>0</v>
      </c>
      <c r="G8" s="37">
        <f t="array" aca="1" ref="G8" ca="1">IFERROR(
  INDEX(DRE!$J:$J, MATCH($A8, DRE!$A:$A, 0)) * 85% *
  SUMPRODUCT(
    (MONTH(Entradas!$B$2:$B$100)=MONTH($A8)) *
    (YEAR(Entradas!$B$2:$B$100)=YEAR($A8)) *
    (Entradas!$C$2:$C$100) *
    (Entradas!G$2:G$100)
  )
  /
  SUMPRODUCT(
    (MONTH(Entradas!$B$2:$B$100)=MONTH($A8)) *
    (YEAR(Entradas!$B$2:$B$100)=YEAR($A8)) *
    (Entradas!$C$2:$C$100)
  ), 0)</f>
        <v>0</v>
      </c>
      <c r="H8" s="37">
        <f t="array" aca="1" ref="H8" ca="1">IFERROR(
  INDEX(DRE!$J:$J, MATCH($A8, DRE!$A:$A, 0)) * 85% *
  SUMPRODUCT(
    (MONTH(Entradas!$B$2:$B$100)=MONTH($A8)) *
    (YEAR(Entradas!$B$2:$B$100)=YEAR($A8)) *
    (Entradas!$C$2:$C$100) *
    (Entradas!H$2:H$100)
  )
  /
  SUMPRODUCT(
    (MONTH(Entradas!$B$2:$B$100)=MONTH($A8)) *
    (YEAR(Entradas!$B$2:$B$100)=YEAR($A8)) *
    (Entradas!$C$2:$C$100)
  ), 0)</f>
        <v>0</v>
      </c>
      <c r="I8" s="37">
        <f t="array" aca="1" ref="I8" ca="1">IFERROR(
  INDEX(DRE!$J:$J, MATCH($A8, DRE!$A:$A, 0)) * 85% *
  SUMPRODUCT(
    (MONTH(Entradas!$B$2:$B$100)=MONTH($A8)) *
    (YEAR(Entradas!$B$2:$B$100)=YEAR($A8)) *
    (Entradas!$C$2:$C$100) *
    (Entradas!I$2:I$100)
  )
  /
  SUMPRODUCT(
    (MONTH(Entradas!$B$2:$B$100)=MONTH($A8)) *
    (YEAR(Entradas!$B$2:$B$100)=YEAR($A8)) *
    (Entradas!$C$2:$C$100)
  ), 0)</f>
        <v>0</v>
      </c>
      <c r="J8" s="37">
        <f t="array" aca="1" ref="J8" ca="1">IFERROR(
  INDEX(DRE!$J:$J, MATCH($A8, DRE!$A:$A, 0)) * 85% *
  SUMPRODUCT(
    (MONTH(Entradas!$B$2:$B$100)=MONTH($A8)) *
    (YEAR(Entradas!$B$2:$B$100)=YEAR($A8)) *
    (Entradas!$C$2:$C$100) *
    (Entradas!J$2:J$100)
  )
  /
  SUMPRODUCT(
    (MONTH(Entradas!$B$2:$B$100)=MONTH($A8)) *
    (YEAR(Entradas!$B$2:$B$100)=YEAR($A8)) *
    (Entradas!$C$2:$C$100)
  ), 0)</f>
        <v>0</v>
      </c>
      <c r="K8" s="37">
        <f t="array" aca="1" ref="K8" ca="1">IFERROR(
  INDEX(DRE!$J:$J, MATCH($A8, DRE!$A:$A, 0)) * 85% *
  SUMPRODUCT(
    (MONTH(Entradas!$B$2:$B$100)=MONTH($A8)) *
    (YEAR(Entradas!$B$2:$B$100)=YEAR($A8)) *
    (Entradas!$C$2:$C$100) *
    (Entradas!K$2:K$100)
  )
  /
  SUMPRODUCT(
    (MONTH(Entradas!$B$2:$B$100)=MONTH($A8)) *
    (YEAR(Entradas!$B$2:$B$100)=YEAR($A8)) *
    (Entradas!$C$2:$C$100)
  ), 0)</f>
        <v>0</v>
      </c>
      <c r="L8" s="37">
        <f t="array" aca="1" ref="L8" ca="1">IFERROR(
  INDEX(DRE!$J:$J, MATCH($A8, DRE!$A:$A, 0)) * 85% *
  SUMPRODUCT(
    (MONTH(Entradas!$B$2:$B$100)=MONTH($A8)) *
    (YEAR(Entradas!$B$2:$B$100)=YEAR($A8)) *
    (Entradas!$C$2:$C$100) *
    (Entradas!L$2:L$100)
  )
  /
  SUMPRODUCT(
    (MONTH(Entradas!$B$2:$B$100)=MONTH($A8)) *
    (YEAR(Entradas!$B$2:$B$100)=YEAR($A8)) *
    (Entradas!$C$2:$C$100)
  ), 0)</f>
        <v>0</v>
      </c>
    </row>
    <row r="9" spans="1:12" ht="14.25" customHeight="1" x14ac:dyDescent="0.3">
      <c r="A9" s="40">
        <v>45870</v>
      </c>
      <c r="B9" s="37">
        <f t="array" aca="1" ref="B9" ca="1">IFERROR(INDEX(DRE!$J:$J, MATCH($A9, DRE!$A:$A, 0)) * 5%, 0)</f>
        <v>13.353813559322033</v>
      </c>
      <c r="C9" s="37">
        <f t="array" aca="1" ref="C9" ca="1">IFERROR(INDEX(DRE!$J:$J, MATCH($A9, DRE!$A:$A, 0)) * 10%, 0)</f>
        <v>26.707627118644066</v>
      </c>
      <c r="D9" s="37">
        <f t="array" aca="1" ref="D9" ca="1">IFERROR(
  INDEX(DRE!$J:$J, MATCH($A9, DRE!$A:$A, 0)) * 85% *
  SUMPRODUCT(
    (MONTH(Entradas!$B$2:$B$100) = MONTH($A9)) *
    (YEAR(Entradas!$B$2:$B$100) = YEAR($A9)) *
    (Entradas!$C$2:$C$100) *
    (Entradas!D$2:D$100)
  )
  /
  SUMPRODUCT(
    (MONTH(Entradas!$B$2:$B$100) = MONTH($A9)) *
    (YEAR(Entradas!$B$2:$B$100) = YEAR($A9)) *
    (Entradas!$C$2:$C$100)
  ), 0)</f>
        <v>227.01483050847455</v>
      </c>
      <c r="E9" s="37">
        <f t="array" aca="1" ref="E9" ca="1">IFERROR(
  INDEX(DRE!$J:$J, MATCH($A9, DRE!$A:$A, 0)) * 85% *
  SUMPRODUCT(
    (MONTH(Entradas!$B$2:$B$100)=MONTH($A9)) *
    (YEAR(Entradas!$B$2:$B$100)=YEAR($A9)) *
    (Entradas!$C$2:$C$100) *
    (Entradas!E$2:E$100)
  )
  /
  SUMPRODUCT(
    (MONTH(Entradas!$B$2:$B$100)=MONTH($A9)) *
    (YEAR(Entradas!$B$2:$B$100)=YEAR($A9)) *
    (Entradas!$C$2:$C$100)
  ), 0)</f>
        <v>0</v>
      </c>
      <c r="F9" s="37">
        <f t="array" aca="1" ref="F9" ca="1">IFERROR(
  INDEX(DRE!$J:$J, MATCH($A9, DRE!$A:$A, 0)) * 85% *
  SUMPRODUCT(
    (MONTH(Entradas!$B$2:$B$100)=MONTH($A9)) *
    (YEAR(Entradas!$B$2:$B$100)=YEAR($A9)) *
    (Entradas!$C$2:$C$100) *
    (Entradas!F$2:F$100)
  )
  /
  SUMPRODUCT(
    (MONTH(Entradas!$B$2:$B$100)=MONTH($A9)) *
    (YEAR(Entradas!$B$2:$B$100)=YEAR($A9)) *
    (Entradas!$C$2:$C$100)
  ), 0)</f>
        <v>0</v>
      </c>
      <c r="G9" s="37">
        <f t="array" aca="1" ref="G9" ca="1">IFERROR(
  INDEX(DRE!$J:$J, MATCH($A9, DRE!$A:$A, 0)) * 85% *
  SUMPRODUCT(
    (MONTH(Entradas!$B$2:$B$100)=MONTH($A9)) *
    (YEAR(Entradas!$B$2:$B$100)=YEAR($A9)) *
    (Entradas!$C$2:$C$100) *
    (Entradas!G$2:G$100)
  )
  /
  SUMPRODUCT(
    (MONTH(Entradas!$B$2:$B$100)=MONTH($A9)) *
    (YEAR(Entradas!$B$2:$B$100)=YEAR($A9)) *
    (Entradas!$C$2:$C$100)
  ), 0)</f>
        <v>0</v>
      </c>
      <c r="H9" s="37">
        <f t="array" aca="1" ref="H9" ca="1">IFERROR(
  INDEX(DRE!$J:$J, MATCH($A9, DRE!$A:$A, 0)) * 85% *
  SUMPRODUCT(
    (MONTH(Entradas!$B$2:$B$100)=MONTH($A9)) *
    (YEAR(Entradas!$B$2:$B$100)=YEAR($A9)) *
    (Entradas!$C$2:$C$100) *
    (Entradas!H$2:H$100)
  )
  /
  SUMPRODUCT(
    (MONTH(Entradas!$B$2:$B$100)=MONTH($A9)) *
    (YEAR(Entradas!$B$2:$B$100)=YEAR($A9)) *
    (Entradas!$C$2:$C$100)
  ), 0)</f>
        <v>0</v>
      </c>
      <c r="I9" s="37">
        <f t="array" aca="1" ref="I9" ca="1">IFERROR(
  INDEX(DRE!$J:$J, MATCH($A9, DRE!$A:$A, 0)) * 85% *
  SUMPRODUCT(
    (MONTH(Entradas!$B$2:$B$100)=MONTH($A9)) *
    (YEAR(Entradas!$B$2:$B$100)=YEAR($A9)) *
    (Entradas!$C$2:$C$100) *
    (Entradas!I$2:I$100)
  )
  /
  SUMPRODUCT(
    (MONTH(Entradas!$B$2:$B$100)=MONTH($A9)) *
    (YEAR(Entradas!$B$2:$B$100)=YEAR($A9)) *
    (Entradas!$C$2:$C$100)
  ), 0)</f>
        <v>0</v>
      </c>
      <c r="J9" s="37">
        <f t="array" aca="1" ref="J9" ca="1">IFERROR(
  INDEX(DRE!$J:$J, MATCH($A9, DRE!$A:$A, 0)) * 85% *
  SUMPRODUCT(
    (MONTH(Entradas!$B$2:$B$100)=MONTH($A9)) *
    (YEAR(Entradas!$B$2:$B$100)=YEAR($A9)) *
    (Entradas!$C$2:$C$100) *
    (Entradas!J$2:J$100)
  )
  /
  SUMPRODUCT(
    (MONTH(Entradas!$B$2:$B$100)=MONTH($A9)) *
    (YEAR(Entradas!$B$2:$B$100)=YEAR($A9)) *
    (Entradas!$C$2:$C$100)
  ), 0)</f>
        <v>0</v>
      </c>
      <c r="K9" s="37">
        <f t="array" aca="1" ref="K9" ca="1">IFERROR(
  INDEX(DRE!$J:$J, MATCH($A9, DRE!$A:$A, 0)) * 85% *
  SUMPRODUCT(
    (MONTH(Entradas!$B$2:$B$100)=MONTH($A9)) *
    (YEAR(Entradas!$B$2:$B$100)=YEAR($A9)) *
    (Entradas!$C$2:$C$100) *
    (Entradas!K$2:K$100)
  )
  /
  SUMPRODUCT(
    (MONTH(Entradas!$B$2:$B$100)=MONTH($A9)) *
    (YEAR(Entradas!$B$2:$B$100)=YEAR($A9)) *
    (Entradas!$C$2:$C$100)
  ), 0)</f>
        <v>0</v>
      </c>
      <c r="L9" s="37">
        <f t="array" aca="1" ref="L9" ca="1">IFERROR(
  INDEX(DRE!$J:$J, MATCH($A9, DRE!$A:$A, 0)) * 85% *
  SUMPRODUCT(
    (MONTH(Entradas!$B$2:$B$100)=MONTH($A9)) *
    (YEAR(Entradas!$B$2:$B$100)=YEAR($A9)) *
    (Entradas!$C$2:$C$100) *
    (Entradas!L$2:L$100)
  )
  /
  SUMPRODUCT(
    (MONTH(Entradas!$B$2:$B$100)=MONTH($A9)) *
    (YEAR(Entradas!$B$2:$B$100)=YEAR($A9)) *
    (Entradas!$C$2:$C$100)
  ), 0)</f>
        <v>0</v>
      </c>
    </row>
    <row r="10" spans="1:12" ht="14.25" customHeight="1" x14ac:dyDescent="0.3">
      <c r="A10" s="40">
        <v>45901</v>
      </c>
      <c r="B10" s="37">
        <f t="array" aca="1" ref="B10" ca="1">IFERROR(INDEX(DRE!$J:$J, MATCH($A10, DRE!$A:$A, 0)) * 5%, 0)</f>
        <v>0</v>
      </c>
      <c r="C10" s="37">
        <f t="array" aca="1" ref="C10" ca="1">IFERROR(INDEX(DRE!$J:$J, MATCH($A10, DRE!$A:$A, 0)) * 10%, 0)</f>
        <v>0</v>
      </c>
      <c r="D10" s="37">
        <f t="array" aca="1" ref="D10" ca="1">IFERROR(
  INDEX(DRE!$J:$J, MATCH($A10, DRE!$A:$A, 0)) * 85% *
  SUMPRODUCT(
    (MONTH(Entradas!$B$2:$B$100) = MONTH($A10)) *
    (YEAR(Entradas!$B$2:$B$100) = YEAR($A10)) *
    (Entradas!$C$2:$C$100) *
    (Entradas!D$2:D$100)
  )
  /
  SUMPRODUCT(
    (MONTH(Entradas!$B$2:$B$100) = MONTH($A10)) *
    (YEAR(Entradas!$B$2:$B$100) = YEAR($A10)) *
    (Entradas!$C$2:$C$100)
  ), 0)</f>
        <v>0</v>
      </c>
      <c r="E10" s="37">
        <f t="array" aca="1" ref="E10" ca="1">IFERROR(
  INDEX(DRE!$J:$J, MATCH($A10, DRE!$A:$A, 0)) * 85% *
  SUMPRODUCT(
    (MONTH(Entradas!$B$2:$B$100)=MONTH($A10)) *
    (YEAR(Entradas!$B$2:$B$100)=YEAR($A10)) *
    (Entradas!$C$2:$C$100) *
    (Entradas!E$2:E$100)
  )
  /
  SUMPRODUCT(
    (MONTH(Entradas!$B$2:$B$100)=MONTH($A10)) *
    (YEAR(Entradas!$B$2:$B$100)=YEAR($A10)) *
    (Entradas!$C$2:$C$100)
  ), 0)</f>
        <v>0</v>
      </c>
      <c r="F10" s="37">
        <f t="array" aca="1" ref="F10" ca="1">IFERROR(
  INDEX(DRE!$J:$J, MATCH($A10, DRE!$A:$A, 0)) * 85% *
  SUMPRODUCT(
    (MONTH(Entradas!$B$2:$B$100)=MONTH($A10)) *
    (YEAR(Entradas!$B$2:$B$100)=YEAR($A10)) *
    (Entradas!$C$2:$C$100) *
    (Entradas!F$2:F$100)
  )
  /
  SUMPRODUCT(
    (MONTH(Entradas!$B$2:$B$100)=MONTH($A10)) *
    (YEAR(Entradas!$B$2:$B$100)=YEAR($A10)) *
    (Entradas!$C$2:$C$100)
  ), 0)</f>
        <v>0</v>
      </c>
      <c r="G10" s="37">
        <f t="array" aca="1" ref="G10" ca="1">IFERROR(
  INDEX(DRE!$J:$J, MATCH($A10, DRE!$A:$A, 0)) * 85% *
  SUMPRODUCT(
    (MONTH(Entradas!$B$2:$B$100)=MONTH($A10)) *
    (YEAR(Entradas!$B$2:$B$100)=YEAR($A10)) *
    (Entradas!$C$2:$C$100) *
    (Entradas!G$2:G$100)
  )
  /
  SUMPRODUCT(
    (MONTH(Entradas!$B$2:$B$100)=MONTH($A10)) *
    (YEAR(Entradas!$B$2:$B$100)=YEAR($A10)) *
    (Entradas!$C$2:$C$100)
  ), 0)</f>
        <v>0</v>
      </c>
      <c r="H10" s="37">
        <f t="array" aca="1" ref="H10" ca="1">IFERROR(
  INDEX(DRE!$J:$J, MATCH($A10, DRE!$A:$A, 0)) * 85% *
  SUMPRODUCT(
    (MONTH(Entradas!$B$2:$B$100)=MONTH($A10)) *
    (YEAR(Entradas!$B$2:$B$100)=YEAR($A10)) *
    (Entradas!$C$2:$C$100) *
    (Entradas!H$2:H$100)
  )
  /
  SUMPRODUCT(
    (MONTH(Entradas!$B$2:$B$100)=MONTH($A10)) *
    (YEAR(Entradas!$B$2:$B$100)=YEAR($A10)) *
    (Entradas!$C$2:$C$100)
  ), 0)</f>
        <v>0</v>
      </c>
      <c r="I10" s="37">
        <f t="array" aca="1" ref="I10" ca="1">IFERROR(
  INDEX(DRE!$J:$J, MATCH($A10, DRE!$A:$A, 0)) * 85% *
  SUMPRODUCT(
    (MONTH(Entradas!$B$2:$B$100)=MONTH($A10)) *
    (YEAR(Entradas!$B$2:$B$100)=YEAR($A10)) *
    (Entradas!$C$2:$C$100) *
    (Entradas!I$2:I$100)
  )
  /
  SUMPRODUCT(
    (MONTH(Entradas!$B$2:$B$100)=MONTH($A10)) *
    (YEAR(Entradas!$B$2:$B$100)=YEAR($A10)) *
    (Entradas!$C$2:$C$100)
  ), 0)</f>
        <v>0</v>
      </c>
      <c r="J10" s="37">
        <f t="array" aca="1" ref="J10" ca="1">IFERROR(
  INDEX(DRE!$J:$J, MATCH($A10, DRE!$A:$A, 0)) * 85% *
  SUMPRODUCT(
    (MONTH(Entradas!$B$2:$B$100)=MONTH($A10)) *
    (YEAR(Entradas!$B$2:$B$100)=YEAR($A10)) *
    (Entradas!$C$2:$C$100) *
    (Entradas!J$2:J$100)
  )
  /
  SUMPRODUCT(
    (MONTH(Entradas!$B$2:$B$100)=MONTH($A10)) *
    (YEAR(Entradas!$B$2:$B$100)=YEAR($A10)) *
    (Entradas!$C$2:$C$100)
  ), 0)</f>
        <v>0</v>
      </c>
      <c r="K10" s="37">
        <f t="array" aca="1" ref="K10" ca="1">IFERROR(
  INDEX(DRE!$J:$J, MATCH($A10, DRE!$A:$A, 0)) * 85% *
  SUMPRODUCT(
    (MONTH(Entradas!$B$2:$B$100)=MONTH($A10)) *
    (YEAR(Entradas!$B$2:$B$100)=YEAR($A10)) *
    (Entradas!$C$2:$C$100) *
    (Entradas!K$2:K$100)
  )
  /
  SUMPRODUCT(
    (MONTH(Entradas!$B$2:$B$100)=MONTH($A10)) *
    (YEAR(Entradas!$B$2:$B$100)=YEAR($A10)) *
    (Entradas!$C$2:$C$100)
  ), 0)</f>
        <v>0</v>
      </c>
      <c r="L10" s="37">
        <f t="array" aca="1" ref="L10" ca="1">IFERROR(
  INDEX(DRE!$J:$J, MATCH($A10, DRE!$A:$A, 0)) * 85% *
  SUMPRODUCT(
    (MONTH(Entradas!$B$2:$B$100)=MONTH($A10)) *
    (YEAR(Entradas!$B$2:$B$100)=YEAR($A10)) *
    (Entradas!$C$2:$C$100) *
    (Entradas!L$2:L$100)
  )
  /
  SUMPRODUCT(
    (MONTH(Entradas!$B$2:$B$100)=MONTH($A10)) *
    (YEAR(Entradas!$B$2:$B$100)=YEAR($A10)) *
    (Entradas!$C$2:$C$100)
  ), 0)</f>
        <v>0</v>
      </c>
    </row>
    <row r="11" spans="1:12" ht="14.25" customHeight="1" x14ac:dyDescent="0.3">
      <c r="A11" s="40">
        <v>45931</v>
      </c>
      <c r="B11" s="37">
        <f t="array" aca="1" ref="B11" ca="1">IFERROR(INDEX(DRE!$J:$J, MATCH($A11, DRE!$A:$A, 0)) * 5%, 0)</f>
        <v>0</v>
      </c>
      <c r="C11" s="37">
        <f t="array" aca="1" ref="C11" ca="1">IFERROR(INDEX(DRE!$J:$J, MATCH($A11, DRE!$A:$A, 0)) * 10%, 0)</f>
        <v>0</v>
      </c>
      <c r="D11" s="37">
        <f t="array" aca="1" ref="D11" ca="1">IFERROR(
  INDEX(DRE!$J:$J, MATCH($A11, DRE!$A:$A, 0)) * 85% *
  SUMPRODUCT(
    (MONTH(Entradas!$B$2:$B$100) = MONTH($A11)) *
    (YEAR(Entradas!$B$2:$B$100) = YEAR($A11)) *
    (Entradas!$C$2:$C$100) *
    (Entradas!D$2:D$100)
  )
  /
  SUMPRODUCT(
    (MONTH(Entradas!$B$2:$B$100) = MONTH($A11)) *
    (YEAR(Entradas!$B$2:$B$100) = YEAR($A11)) *
    (Entradas!$C$2:$C$100)
  ), 0)</f>
        <v>0</v>
      </c>
      <c r="E11" s="37">
        <f t="array" aca="1" ref="E11" ca="1">IFERROR(
  INDEX(DRE!$J:$J, MATCH($A11, DRE!$A:$A, 0)) * 85% *
  SUMPRODUCT(
    (MONTH(Entradas!$B$2:$B$100)=MONTH($A11)) *
    (YEAR(Entradas!$B$2:$B$100)=YEAR($A11)) *
    (Entradas!$C$2:$C$100) *
    (Entradas!E$2:E$100)
  )
  /
  SUMPRODUCT(
    (MONTH(Entradas!$B$2:$B$100)=MONTH($A11)) *
    (YEAR(Entradas!$B$2:$B$100)=YEAR($A11)) *
    (Entradas!$C$2:$C$100)
  ), 0)</f>
        <v>0</v>
      </c>
      <c r="F11" s="37">
        <f t="array" aca="1" ref="F11" ca="1">IFERROR(
  INDEX(DRE!$J:$J, MATCH($A11, DRE!$A:$A, 0)) * 85% *
  SUMPRODUCT(
    (MONTH(Entradas!$B$2:$B$100)=MONTH($A11)) *
    (YEAR(Entradas!$B$2:$B$100)=YEAR($A11)) *
    (Entradas!$C$2:$C$100) *
    (Entradas!F$2:F$100)
  )
  /
  SUMPRODUCT(
    (MONTH(Entradas!$B$2:$B$100)=MONTH($A11)) *
    (YEAR(Entradas!$B$2:$B$100)=YEAR($A11)) *
    (Entradas!$C$2:$C$100)
  ), 0)</f>
        <v>0</v>
      </c>
      <c r="G11" s="37">
        <f t="array" aca="1" ref="G11" ca="1">IFERROR(
  INDEX(DRE!$J:$J, MATCH($A11, DRE!$A:$A, 0)) * 85% *
  SUMPRODUCT(
    (MONTH(Entradas!$B$2:$B$100)=MONTH($A11)) *
    (YEAR(Entradas!$B$2:$B$100)=YEAR($A11)) *
    (Entradas!$C$2:$C$100) *
    (Entradas!G$2:G$100)
  )
  /
  SUMPRODUCT(
    (MONTH(Entradas!$B$2:$B$100)=MONTH($A11)) *
    (YEAR(Entradas!$B$2:$B$100)=YEAR($A11)) *
    (Entradas!$C$2:$C$100)
  ), 0)</f>
        <v>0</v>
      </c>
      <c r="H11" s="37">
        <f t="array" aca="1" ref="H11" ca="1">IFERROR(
  INDEX(DRE!$J:$J, MATCH($A11, DRE!$A:$A, 0)) * 85% *
  SUMPRODUCT(
    (MONTH(Entradas!$B$2:$B$100)=MONTH($A11)) *
    (YEAR(Entradas!$B$2:$B$100)=YEAR($A11)) *
    (Entradas!$C$2:$C$100) *
    (Entradas!H$2:H$100)
  )
  /
  SUMPRODUCT(
    (MONTH(Entradas!$B$2:$B$100)=MONTH($A11)) *
    (YEAR(Entradas!$B$2:$B$100)=YEAR($A11)) *
    (Entradas!$C$2:$C$100)
  ), 0)</f>
        <v>0</v>
      </c>
      <c r="I11" s="37">
        <f t="array" aca="1" ref="I11" ca="1">IFERROR(
  INDEX(DRE!$J:$J, MATCH($A11, DRE!$A:$A, 0)) * 85% *
  SUMPRODUCT(
    (MONTH(Entradas!$B$2:$B$100)=MONTH($A11)) *
    (YEAR(Entradas!$B$2:$B$100)=YEAR($A11)) *
    (Entradas!$C$2:$C$100) *
    (Entradas!I$2:I$100)
  )
  /
  SUMPRODUCT(
    (MONTH(Entradas!$B$2:$B$100)=MONTH($A11)) *
    (YEAR(Entradas!$B$2:$B$100)=YEAR($A11)) *
    (Entradas!$C$2:$C$100)
  ), 0)</f>
        <v>0</v>
      </c>
      <c r="J11" s="37">
        <f t="array" aca="1" ref="J11" ca="1">IFERROR(
  INDEX(DRE!$J:$J, MATCH($A11, DRE!$A:$A, 0)) * 85% *
  SUMPRODUCT(
    (MONTH(Entradas!$B$2:$B$100)=MONTH($A11)) *
    (YEAR(Entradas!$B$2:$B$100)=YEAR($A11)) *
    (Entradas!$C$2:$C$100) *
    (Entradas!J$2:J$100)
  )
  /
  SUMPRODUCT(
    (MONTH(Entradas!$B$2:$B$100)=MONTH($A11)) *
    (YEAR(Entradas!$B$2:$B$100)=YEAR($A11)) *
    (Entradas!$C$2:$C$100)
  ), 0)</f>
        <v>0</v>
      </c>
      <c r="K11" s="37">
        <f t="array" aca="1" ref="K11" ca="1">IFERROR(
  INDEX(DRE!$J:$J, MATCH($A11, DRE!$A:$A, 0)) * 85% *
  SUMPRODUCT(
    (MONTH(Entradas!$B$2:$B$100)=MONTH($A11)) *
    (YEAR(Entradas!$B$2:$B$100)=YEAR($A11)) *
    (Entradas!$C$2:$C$100) *
    (Entradas!K$2:K$100)
  )
  /
  SUMPRODUCT(
    (MONTH(Entradas!$B$2:$B$100)=MONTH($A11)) *
    (YEAR(Entradas!$B$2:$B$100)=YEAR($A11)) *
    (Entradas!$C$2:$C$100)
  ), 0)</f>
        <v>0</v>
      </c>
      <c r="L11" s="37">
        <f t="array" aca="1" ref="L11" ca="1">IFERROR(
  INDEX(DRE!$J:$J, MATCH($A11, DRE!$A:$A, 0)) * 85% *
  SUMPRODUCT(
    (MONTH(Entradas!$B$2:$B$100)=MONTH($A11)) *
    (YEAR(Entradas!$B$2:$B$100)=YEAR($A11)) *
    (Entradas!$C$2:$C$100) *
    (Entradas!L$2:L$100)
  )
  /
  SUMPRODUCT(
    (MONTH(Entradas!$B$2:$B$100)=MONTH($A11)) *
    (YEAR(Entradas!$B$2:$B$100)=YEAR($A11)) *
    (Entradas!$C$2:$C$100)
  ), 0)</f>
        <v>0</v>
      </c>
    </row>
    <row r="12" spans="1:12" ht="14.25" customHeight="1" x14ac:dyDescent="0.3">
      <c r="A12" s="40">
        <v>45962</v>
      </c>
      <c r="B12" s="37">
        <f t="array" aca="1" ref="B12" ca="1">IFERROR(INDEX(DRE!$J:$J, MATCH($A12, DRE!$A:$A, 0)) * 5%, 0)</f>
        <v>73.385462786474363</v>
      </c>
      <c r="C12" s="37">
        <f t="array" aca="1" ref="C12" ca="1">IFERROR(INDEX(DRE!$J:$J, MATCH($A12, DRE!$A:$A, 0)) * 10%, 0)</f>
        <v>146.77092557294873</v>
      </c>
      <c r="D12" s="37">
        <f t="array" aca="1" ref="D12" ca="1">IFERROR(
  INDEX(DRE!$J:$J, MATCH($A12, DRE!$A:$A, 0)) * 85% *
  SUMPRODUCT(
    (MONTH(Entradas!$B$2:$B$100) = MONTH($A12)) *
    (YEAR(Entradas!$B$2:$B$100) = YEAR($A12)) *
    (Entradas!$C$2:$C$100) *
    (Entradas!D$2:D$100)
  )
  /
  SUMPRODUCT(
    (MONTH(Entradas!$B$2:$B$100) = MONTH($A12)) *
    (YEAR(Entradas!$B$2:$B$100) = YEAR($A12)) *
    (Entradas!$C$2:$C$100)
  ), 0)</f>
        <v>228.06825856608987</v>
      </c>
      <c r="E12" s="37">
        <f t="array" aca="1" ref="E12" ca="1">IFERROR(
  INDEX(DRE!$J:$J, MATCH($A12, DRE!$A:$A, 0)) * 85% *
  SUMPRODUCT(
    (MONTH(Entradas!$B$2:$B$100)=MONTH($A12)) *
    (YEAR(Entradas!$B$2:$B$100)=YEAR($A12)) *
    (Entradas!$C$2:$C$100) *
    (Entradas!E$2:E$100)
  )
  /
  SUMPRODUCT(
    (MONTH(Entradas!$B$2:$B$100)=MONTH($A12)) *
    (YEAR(Entradas!$B$2:$B$100)=YEAR($A12)) *
    (Entradas!$C$2:$C$100)
  ), 0)</f>
        <v>1019.4846088039743</v>
      </c>
      <c r="F12" s="37">
        <f t="array" aca="1" ref="F12" ca="1">IFERROR(
  INDEX(DRE!$J:$J, MATCH($A12, DRE!$A:$A, 0)) * 85% *
  SUMPRODUCT(
    (MONTH(Entradas!$B$2:$B$100)=MONTH($A12)) *
    (YEAR(Entradas!$B$2:$B$100)=YEAR($A12)) *
    (Entradas!$C$2:$C$100) *
    (Entradas!F$2:F$100)
  )
  /
  SUMPRODUCT(
    (MONTH(Entradas!$B$2:$B$100)=MONTH($A12)) *
    (YEAR(Entradas!$B$2:$B$100)=YEAR($A12)) *
    (Entradas!$C$2:$C$100)
  ), 0)</f>
        <v>0</v>
      </c>
      <c r="G12" s="37">
        <f t="array" aca="1" ref="G12" ca="1">IFERROR(
  INDEX(DRE!$J:$J, MATCH($A12, DRE!$A:$A, 0)) * 85% *
  SUMPRODUCT(
    (MONTH(Entradas!$B$2:$B$100)=MONTH($A12)) *
    (YEAR(Entradas!$B$2:$B$100)=YEAR($A12)) *
    (Entradas!$C$2:$C$100) *
    (Entradas!G$2:G$100)
  )
  /
  SUMPRODUCT(
    (MONTH(Entradas!$B$2:$B$100)=MONTH($A12)) *
    (YEAR(Entradas!$B$2:$B$100)=YEAR($A12)) *
    (Entradas!$C$2:$C$100)
  ), 0)</f>
        <v>0</v>
      </c>
      <c r="H12" s="37">
        <f t="array" aca="1" ref="H12" ca="1">IFERROR(
  INDEX(DRE!$J:$J, MATCH($A12, DRE!$A:$A, 0)) * 85% *
  SUMPRODUCT(
    (MONTH(Entradas!$B$2:$B$100)=MONTH($A12)) *
    (YEAR(Entradas!$B$2:$B$100)=YEAR($A12)) *
    (Entradas!$C$2:$C$100) *
    (Entradas!H$2:H$100)
  )
  /
  SUMPRODUCT(
    (MONTH(Entradas!$B$2:$B$100)=MONTH($A12)) *
    (YEAR(Entradas!$B$2:$B$100)=YEAR($A12)) *
    (Entradas!$C$2:$C$100)
  ), 0)</f>
        <v>0</v>
      </c>
      <c r="I12" s="37">
        <f t="array" aca="1" ref="I12" ca="1">IFERROR(
  INDEX(DRE!$J:$J, MATCH($A12, DRE!$A:$A, 0)) * 85% *
  SUMPRODUCT(
    (MONTH(Entradas!$B$2:$B$100)=MONTH($A12)) *
    (YEAR(Entradas!$B$2:$B$100)=YEAR($A12)) *
    (Entradas!$C$2:$C$100) *
    (Entradas!I$2:I$100)
  )
  /
  SUMPRODUCT(
    (MONTH(Entradas!$B$2:$B$100)=MONTH($A12)) *
    (YEAR(Entradas!$B$2:$B$100)=YEAR($A12)) *
    (Entradas!$C$2:$C$100)
  ), 0)</f>
        <v>0</v>
      </c>
      <c r="J12" s="37">
        <f t="array" aca="1" ref="J12" ca="1">IFERROR(
  INDEX(DRE!$J:$J, MATCH($A12, DRE!$A:$A, 0)) * 85% *
  SUMPRODUCT(
    (MONTH(Entradas!$B$2:$B$100)=MONTH($A12)) *
    (YEAR(Entradas!$B$2:$B$100)=YEAR($A12)) *
    (Entradas!$C$2:$C$100) *
    (Entradas!J$2:J$100)
  )
  /
  SUMPRODUCT(
    (MONTH(Entradas!$B$2:$B$100)=MONTH($A12)) *
    (YEAR(Entradas!$B$2:$B$100)=YEAR($A12)) *
    (Entradas!$C$2:$C$100)
  ), 0)</f>
        <v>0</v>
      </c>
      <c r="K12" s="37">
        <f t="array" aca="1" ref="K12" ca="1">IFERROR(
  INDEX(DRE!$J:$J, MATCH($A12, DRE!$A:$A, 0)) * 85% *
  SUMPRODUCT(
    (MONTH(Entradas!$B$2:$B$100)=MONTH($A12)) *
    (YEAR(Entradas!$B$2:$B$100)=YEAR($A12)) *
    (Entradas!$C$2:$C$100) *
    (Entradas!K$2:K$100)
  )
  /
  SUMPRODUCT(
    (MONTH(Entradas!$B$2:$B$100)=MONTH($A12)) *
    (YEAR(Entradas!$B$2:$B$100)=YEAR($A12)) *
    (Entradas!$C$2:$C$100)
  ), 0)</f>
        <v>0</v>
      </c>
      <c r="L12" s="37">
        <f t="array" aca="1" ref="L12" ca="1">IFERROR(
  INDEX(DRE!$J:$J, MATCH($A12, DRE!$A:$A, 0)) * 85% *
  SUMPRODUCT(
    (MONTH(Entradas!$B$2:$B$100)=MONTH($A12)) *
    (YEAR(Entradas!$B$2:$B$100)=YEAR($A12)) *
    (Entradas!$C$2:$C$100) *
    (Entradas!L$2:L$100)
  )
  /
  SUMPRODUCT(
    (MONTH(Entradas!$B$2:$B$100)=MONTH($A12)) *
    (YEAR(Entradas!$B$2:$B$100)=YEAR($A12)) *
    (Entradas!$C$2:$C$100)
  ), 0)</f>
        <v>0</v>
      </c>
    </row>
    <row r="13" spans="1:12" ht="14.25" customHeight="1" x14ac:dyDescent="0.3">
      <c r="A13" s="40">
        <v>45992</v>
      </c>
      <c r="B13" s="37">
        <f t="array" aca="1" ref="B13" ca="1">IFERROR(INDEX(DRE!$J:$J, MATCH($A13, DRE!$A:$A, 0)) * 5%, 0)</f>
        <v>0</v>
      </c>
      <c r="C13" s="37">
        <f t="array" aca="1" ref="C13" ca="1">IFERROR(INDEX(DRE!$J:$J, MATCH($A13, DRE!$A:$A, 0)) * 10%, 0)</f>
        <v>0</v>
      </c>
      <c r="D13" s="37">
        <f t="array" aca="1" ref="D13" ca="1">IFERROR(
  INDEX(DRE!$J:$J, MATCH($A13, DRE!$A:$A, 0)) * 85% *
  SUMPRODUCT(
    (MONTH(Entradas!$B$2:$B$100) = MONTH($A13)) *
    (YEAR(Entradas!$B$2:$B$100) = YEAR($A13)) *
    (Entradas!$C$2:$C$100) *
    (Entradas!D$2:D$100)
  )
  /
  SUMPRODUCT(
    (MONTH(Entradas!$B$2:$B$100) = MONTH($A13)) *
    (YEAR(Entradas!$B$2:$B$100) = YEAR($A13)) *
    (Entradas!$C$2:$C$100)
  ), 0)</f>
        <v>0</v>
      </c>
      <c r="E13" s="37">
        <f t="array" aca="1" ref="E13" ca="1">IFERROR(
  INDEX(DRE!$J:$J, MATCH($A13, DRE!$A:$A, 0)) * 85% *
  SUMPRODUCT(
    (MONTH(Entradas!$B$2:$B$100)=MONTH($A13)) *
    (YEAR(Entradas!$B$2:$B$100)=YEAR($A13)) *
    (Entradas!$C$2:$C$100) *
    (Entradas!E$2:E$100)
  )
  /
  SUMPRODUCT(
    (MONTH(Entradas!$B$2:$B$100)=MONTH($A13)) *
    (YEAR(Entradas!$B$2:$B$100)=YEAR($A13)) *
    (Entradas!$C$2:$C$100)
  ), 0)</f>
        <v>0</v>
      </c>
      <c r="F13" s="37">
        <f t="array" aca="1" ref="F13" ca="1">IFERROR(
  INDEX(DRE!$J:$J, MATCH($A13, DRE!$A:$A, 0)) * 85% *
  SUMPRODUCT(
    (MONTH(Entradas!$B$2:$B$100)=MONTH($A13)) *
    (YEAR(Entradas!$B$2:$B$100)=YEAR($A13)) *
    (Entradas!$C$2:$C$100) *
    (Entradas!F$2:F$100)
  )
  /
  SUMPRODUCT(
    (MONTH(Entradas!$B$2:$B$100)=MONTH($A13)) *
    (YEAR(Entradas!$B$2:$B$100)=YEAR($A13)) *
    (Entradas!$C$2:$C$100)
  ), 0)</f>
        <v>0</v>
      </c>
      <c r="G13" s="37">
        <f t="array" aca="1" ref="G13" ca="1">IFERROR(
  INDEX(DRE!$J:$J, MATCH($A13, DRE!$A:$A, 0)) * 85% *
  SUMPRODUCT(
    (MONTH(Entradas!$B$2:$B$100)=MONTH($A13)) *
    (YEAR(Entradas!$B$2:$B$100)=YEAR($A13)) *
    (Entradas!$C$2:$C$100) *
    (Entradas!G$2:G$100)
  )
  /
  SUMPRODUCT(
    (MONTH(Entradas!$B$2:$B$100)=MONTH($A13)) *
    (YEAR(Entradas!$B$2:$B$100)=YEAR($A13)) *
    (Entradas!$C$2:$C$100)
  ), 0)</f>
        <v>0</v>
      </c>
      <c r="H13" s="37">
        <f t="array" aca="1" ref="H13" ca="1">IFERROR(
  INDEX(DRE!$J:$J, MATCH($A13, DRE!$A:$A, 0)) * 85% *
  SUMPRODUCT(
    (MONTH(Entradas!$B$2:$B$100)=MONTH($A13)) *
    (YEAR(Entradas!$B$2:$B$100)=YEAR($A13)) *
    (Entradas!$C$2:$C$100) *
    (Entradas!H$2:H$100)
  )
  /
  SUMPRODUCT(
    (MONTH(Entradas!$B$2:$B$100)=MONTH($A13)) *
    (YEAR(Entradas!$B$2:$B$100)=YEAR($A13)) *
    (Entradas!$C$2:$C$100)
  ), 0)</f>
        <v>0</v>
      </c>
      <c r="I13" s="37">
        <f t="array" aca="1" ref="I13" ca="1">IFERROR(
  INDEX(DRE!$J:$J, MATCH($A13, DRE!$A:$A, 0)) * 85% *
  SUMPRODUCT(
    (MONTH(Entradas!$B$2:$B$100)=MONTH($A13)) *
    (YEAR(Entradas!$B$2:$B$100)=YEAR($A13)) *
    (Entradas!$C$2:$C$100) *
    (Entradas!I$2:I$100)
  )
  /
  SUMPRODUCT(
    (MONTH(Entradas!$B$2:$B$100)=MONTH($A13)) *
    (YEAR(Entradas!$B$2:$B$100)=YEAR($A13)) *
    (Entradas!$C$2:$C$100)
  ), 0)</f>
        <v>0</v>
      </c>
      <c r="J13" s="37">
        <f t="array" aca="1" ref="J13" ca="1">IFERROR(
  INDEX(DRE!$J:$J, MATCH($A13, DRE!$A:$A, 0)) * 85% *
  SUMPRODUCT(
    (MONTH(Entradas!$B$2:$B$100)=MONTH($A13)) *
    (YEAR(Entradas!$B$2:$B$100)=YEAR($A13)) *
    (Entradas!$C$2:$C$100) *
    (Entradas!J$2:J$100)
  )
  /
  SUMPRODUCT(
    (MONTH(Entradas!$B$2:$B$100)=MONTH($A13)) *
    (YEAR(Entradas!$B$2:$B$100)=YEAR($A13)) *
    (Entradas!$C$2:$C$100)
  ), 0)</f>
        <v>0</v>
      </c>
      <c r="K13" s="37">
        <f t="array" aca="1" ref="K13" ca="1">IFERROR(
  INDEX(DRE!$J:$J, MATCH($A13, DRE!$A:$A, 0)) * 85% *
  SUMPRODUCT(
    (MONTH(Entradas!$B$2:$B$100)=MONTH($A13)) *
    (YEAR(Entradas!$B$2:$B$100)=YEAR($A13)) *
    (Entradas!$C$2:$C$100) *
    (Entradas!K$2:K$100)
  )
  /
  SUMPRODUCT(
    (MONTH(Entradas!$B$2:$B$100)=MONTH($A13)) *
    (YEAR(Entradas!$B$2:$B$100)=YEAR($A13)) *
    (Entradas!$C$2:$C$100)
  ), 0)</f>
        <v>0</v>
      </c>
      <c r="L13" s="37">
        <f t="array" aca="1" ref="L13" ca="1">IFERROR(
  INDEX(DRE!$J:$J, MATCH($A13, DRE!$A:$A, 0)) * 85% *
  SUMPRODUCT(
    (MONTH(Entradas!$B$2:$B$100)=MONTH($A13)) *
    (YEAR(Entradas!$B$2:$B$100)=YEAR($A13)) *
    (Entradas!$C$2:$C$100) *
    (Entradas!L$2:L$100)
  )
  /
  SUMPRODUCT(
    (MONTH(Entradas!$B$2:$B$100)=MONTH($A13)) *
    (YEAR(Entradas!$B$2:$B$100)=YEAR($A13)) *
    (Entradas!$C$2:$C$100)
  ), 0)</f>
        <v>0</v>
      </c>
    </row>
    <row r="14" spans="1:12" ht="14.25" customHeight="1" x14ac:dyDescent="0.3"/>
    <row r="15" spans="1:12" ht="14.25" customHeight="1" x14ac:dyDescent="0.3">
      <c r="D15" s="6"/>
    </row>
    <row r="16" spans="1:1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>
      <selection activeCell="F12" sqref="F12"/>
    </sheetView>
  </sheetViews>
  <sheetFormatPr defaultColWidth="14.44140625" defaultRowHeight="15" customHeight="1" x14ac:dyDescent="0.3"/>
  <cols>
    <col min="1" max="1" width="21.6640625" customWidth="1"/>
    <col min="2" max="2" width="12.88671875" customWidth="1"/>
    <col min="3" max="3" width="13.44140625" customWidth="1"/>
    <col min="4" max="4" width="19.6640625" customWidth="1"/>
    <col min="5" max="5" width="15.44140625" customWidth="1"/>
    <col min="6" max="6" width="14" customWidth="1"/>
    <col min="7" max="7" width="10.88671875" customWidth="1"/>
    <col min="8" max="8" width="9.6640625" customWidth="1"/>
    <col min="9" max="9" width="13.44140625" customWidth="1"/>
    <col min="10" max="10" width="10.5546875" customWidth="1"/>
    <col min="11" max="26" width="8.6640625" customWidth="1"/>
  </cols>
  <sheetData>
    <row r="1" spans="1:10" ht="14.25" customHeight="1" x14ac:dyDescent="0.3">
      <c r="A1" s="1" t="s">
        <v>16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41" t="s">
        <v>8</v>
      </c>
      <c r="H1" s="41" t="s">
        <v>9</v>
      </c>
      <c r="I1" s="41"/>
      <c r="J1" s="41"/>
    </row>
    <row r="2" spans="1:10" ht="14.25" customHeight="1" x14ac:dyDescent="0.3">
      <c r="A2" s="15">
        <v>45658</v>
      </c>
      <c r="B2" s="37">
        <f ca="1">'Pró-labore'!J3-Despesas!L3</f>
        <v>0</v>
      </c>
      <c r="C2" s="37">
        <f ca="1">'Lucros Disponíveis'!E2-Despesas!M3</f>
        <v>0</v>
      </c>
      <c r="D2" s="37">
        <f ca="1">'Lucros Disponíveis'!F2-Despesas!N3</f>
        <v>0</v>
      </c>
      <c r="E2" s="37">
        <f ca="1">'Pró-labore'!H19-Despesas!O3</f>
        <v>0</v>
      </c>
      <c r="F2" s="37">
        <f ca="1">'Lucros Disponíveis'!H2-Despesas!P3</f>
        <v>0</v>
      </c>
      <c r="G2" s="37">
        <f ca="1">'Lucros Disponíveis'!I2-Despesas!Q3</f>
        <v>0</v>
      </c>
      <c r="H2" s="37">
        <f ca="1">'Lucros Disponíveis'!J2-Despesas!R3</f>
        <v>0</v>
      </c>
      <c r="I2" s="37">
        <f ca="1">'Lucros Disponíveis'!K2-Despesas!S3</f>
        <v>0</v>
      </c>
      <c r="J2" s="37">
        <f ca="1">'Lucros Disponíveis'!L2-Despesas!T3</f>
        <v>0</v>
      </c>
    </row>
    <row r="3" spans="1:10" ht="14.25" customHeight="1" x14ac:dyDescent="0.3">
      <c r="A3" s="15">
        <v>45689</v>
      </c>
      <c r="B3" s="37">
        <f ca="1">'Pró-labore'!J4-Despesas!L4</f>
        <v>0</v>
      </c>
      <c r="C3" s="37">
        <f ca="1">'Lucros Disponíveis'!E3-Despesas!M4</f>
        <v>0</v>
      </c>
      <c r="D3" s="37">
        <f ca="1">'Lucros Disponíveis'!F3-Despesas!N4</f>
        <v>0</v>
      </c>
      <c r="E3" s="37">
        <f ca="1">'Pró-labore'!H20-Despesas!O4</f>
        <v>0</v>
      </c>
      <c r="F3" s="37">
        <f ca="1">'Lucros Disponíveis'!H3-Despesas!P4</f>
        <v>0</v>
      </c>
      <c r="G3" s="37">
        <f ca="1">'Lucros Disponíveis'!I3-Despesas!Q4</f>
        <v>0</v>
      </c>
      <c r="H3" s="37">
        <f ca="1">'Lucros Disponíveis'!J3-Despesas!R4</f>
        <v>0</v>
      </c>
      <c r="I3" s="37">
        <f ca="1">'Lucros Disponíveis'!K3-Despesas!S4</f>
        <v>0</v>
      </c>
      <c r="J3" s="37">
        <f ca="1">'Lucros Disponíveis'!L3-Despesas!T4</f>
        <v>0</v>
      </c>
    </row>
    <row r="4" spans="1:10" ht="14.25" customHeight="1" x14ac:dyDescent="0.3">
      <c r="A4" s="15">
        <v>45717</v>
      </c>
      <c r="B4" s="37">
        <f ca="1">'Pró-labore'!J5-Despesas!L5</f>
        <v>0</v>
      </c>
      <c r="C4" s="37">
        <f ca="1">'Lucros Disponíveis'!E4-Despesas!M5</f>
        <v>0</v>
      </c>
      <c r="D4" s="37">
        <f ca="1">'Lucros Disponíveis'!F4-Despesas!N5</f>
        <v>0</v>
      </c>
      <c r="E4" s="37">
        <f ca="1">'Pró-labore'!H21-Despesas!O5</f>
        <v>0</v>
      </c>
      <c r="F4" s="37">
        <f ca="1">'Lucros Disponíveis'!H4-Despesas!P5</f>
        <v>0</v>
      </c>
      <c r="G4" s="37">
        <f ca="1">'Lucros Disponíveis'!I4-Despesas!Q5</f>
        <v>0</v>
      </c>
      <c r="H4" s="37">
        <f ca="1">'Lucros Disponíveis'!J4-Despesas!R5</f>
        <v>0</v>
      </c>
      <c r="I4" s="37">
        <f ca="1">'Lucros Disponíveis'!K4-Despesas!S5</f>
        <v>0</v>
      </c>
      <c r="J4" s="37">
        <f ca="1">'Lucros Disponíveis'!L4-Despesas!T5</f>
        <v>0</v>
      </c>
    </row>
    <row r="5" spans="1:10" ht="14.25" customHeight="1" x14ac:dyDescent="0.3">
      <c r="A5" s="15">
        <v>45748</v>
      </c>
      <c r="B5" s="37">
        <f ca="1">'Pró-labore'!J6-Despesas!L6</f>
        <v>0</v>
      </c>
      <c r="C5" s="37">
        <f ca="1">'Lucros Disponíveis'!E5-Despesas!M6</f>
        <v>0</v>
      </c>
      <c r="D5" s="37">
        <f ca="1">'Lucros Disponíveis'!F5-Despesas!N6</f>
        <v>0</v>
      </c>
      <c r="E5" s="37">
        <f ca="1">'Pró-labore'!H22-Despesas!O6</f>
        <v>0</v>
      </c>
      <c r="F5" s="37">
        <f ca="1">'Lucros Disponíveis'!H5-Despesas!P6</f>
        <v>0</v>
      </c>
      <c r="G5" s="37">
        <f ca="1">'Lucros Disponíveis'!I5-Despesas!Q6</f>
        <v>0</v>
      </c>
      <c r="H5" s="37">
        <f ca="1">'Lucros Disponíveis'!J5-Despesas!R6</f>
        <v>0</v>
      </c>
      <c r="I5" s="37">
        <f ca="1">'Lucros Disponíveis'!K5-Despesas!S6</f>
        <v>0</v>
      </c>
      <c r="J5" s="37">
        <f ca="1">'Lucros Disponíveis'!L5-Despesas!T6</f>
        <v>0</v>
      </c>
    </row>
    <row r="6" spans="1:10" ht="14.25" customHeight="1" x14ac:dyDescent="0.3">
      <c r="A6" s="15">
        <v>45778</v>
      </c>
      <c r="B6" s="37">
        <f ca="1">'Pró-labore'!J7-Despesas!L7</f>
        <v>0</v>
      </c>
      <c r="C6" s="37">
        <f ca="1">'Lucros Disponíveis'!E6-Despesas!M7</f>
        <v>0</v>
      </c>
      <c r="D6" s="37">
        <f ca="1">'Lucros Disponíveis'!F6-Despesas!N7</f>
        <v>0</v>
      </c>
      <c r="E6" s="37">
        <f ca="1">'Pró-labore'!H23-Despesas!O7</f>
        <v>0</v>
      </c>
      <c r="F6" s="37">
        <f ca="1">'Lucros Disponíveis'!H6-Despesas!P7</f>
        <v>0</v>
      </c>
      <c r="G6" s="37">
        <f ca="1">'Lucros Disponíveis'!I6-Despesas!Q7</f>
        <v>0</v>
      </c>
      <c r="H6" s="37">
        <f ca="1">'Lucros Disponíveis'!J6-Despesas!R7</f>
        <v>0</v>
      </c>
      <c r="I6" s="37">
        <f ca="1">'Lucros Disponíveis'!K6-Despesas!S7</f>
        <v>0</v>
      </c>
      <c r="J6" s="37">
        <f ca="1">'Lucros Disponíveis'!L6-Despesas!T7</f>
        <v>0</v>
      </c>
    </row>
    <row r="7" spans="1:10" ht="14.25" customHeight="1" x14ac:dyDescent="0.3">
      <c r="A7" s="15">
        <v>45809</v>
      </c>
      <c r="B7" s="37">
        <f ca="1">'Pró-labore'!J8-Despesas!L8</f>
        <v>553.04965753424665</v>
      </c>
      <c r="C7" s="37">
        <f ca="1">'Lucros Disponíveis'!E7-Despesas!M8</f>
        <v>555.99315068493149</v>
      </c>
      <c r="D7" s="37">
        <f ca="1">'Lucros Disponíveis'!F7-Despesas!N8</f>
        <v>0</v>
      </c>
      <c r="E7" s="37">
        <f ca="1">'Pró-labore'!H24-Despesas!O8</f>
        <v>0</v>
      </c>
      <c r="F7" s="37">
        <f ca="1">'Lucros Disponíveis'!H7-Despesas!P8</f>
        <v>0</v>
      </c>
      <c r="G7" s="37">
        <f ca="1">'Lucros Disponíveis'!I7-Despesas!Q8</f>
        <v>0</v>
      </c>
      <c r="H7" s="37">
        <f ca="1">'Lucros Disponíveis'!J7-Despesas!R8</f>
        <v>0</v>
      </c>
      <c r="I7" s="37">
        <f ca="1">'Lucros Disponíveis'!K7-Despesas!S8</f>
        <v>0</v>
      </c>
      <c r="J7" s="37">
        <f ca="1">'Lucros Disponíveis'!L7-Despesas!T8</f>
        <v>0</v>
      </c>
    </row>
    <row r="8" spans="1:10" ht="14.25" customHeight="1" x14ac:dyDescent="0.3">
      <c r="A8" s="15">
        <v>45839</v>
      </c>
      <c r="B8" s="37">
        <f ca="1">'Pró-labore'!J9-Despesas!L9</f>
        <v>213.92809322033895</v>
      </c>
      <c r="C8" s="37">
        <f ca="1">'Lucros Disponíveis'!E8-Despesas!M9</f>
        <v>0</v>
      </c>
      <c r="D8" s="37">
        <f ca="1">'Lucros Disponíveis'!F8-Despesas!N9</f>
        <v>0</v>
      </c>
      <c r="E8" s="37">
        <f ca="1">'Pró-labore'!H25-Despesas!O9</f>
        <v>0</v>
      </c>
      <c r="F8" s="37">
        <f ca="1">'Lucros Disponíveis'!H8-Despesas!P9</f>
        <v>0</v>
      </c>
      <c r="G8" s="37">
        <f ca="1">'Lucros Disponíveis'!I8-Despesas!Q9</f>
        <v>0</v>
      </c>
      <c r="H8" s="37">
        <f ca="1">'Lucros Disponíveis'!J8-Despesas!R9</f>
        <v>0</v>
      </c>
      <c r="I8" s="37">
        <f ca="1">'Lucros Disponíveis'!K8-Despesas!S9</f>
        <v>0</v>
      </c>
      <c r="J8" s="37">
        <f ca="1">'Lucros Disponíveis'!L8-Despesas!T9</f>
        <v>0</v>
      </c>
    </row>
    <row r="9" spans="1:10" ht="14.25" customHeight="1" x14ac:dyDescent="0.3">
      <c r="A9" s="15">
        <v>45870</v>
      </c>
      <c r="B9" s="37">
        <f ca="1">'Pró-labore'!J10-Despesas!L10</f>
        <v>213.92809322033895</v>
      </c>
      <c r="C9" s="37">
        <f ca="1">'Lucros Disponíveis'!E9-Despesas!M10</f>
        <v>0</v>
      </c>
      <c r="D9" s="37">
        <f ca="1">'Lucros Disponíveis'!F9-Despesas!N10</f>
        <v>0</v>
      </c>
      <c r="E9" s="37">
        <f ca="1">'Pró-labore'!H26-Despesas!O10</f>
        <v>0</v>
      </c>
      <c r="F9" s="37">
        <f ca="1">'Lucros Disponíveis'!H9-Despesas!P10</f>
        <v>0</v>
      </c>
      <c r="G9" s="37">
        <f ca="1">'Lucros Disponíveis'!I9-Despesas!Q10</f>
        <v>0</v>
      </c>
      <c r="H9" s="37">
        <f ca="1">'Lucros Disponíveis'!J9-Despesas!R10</f>
        <v>0</v>
      </c>
      <c r="I9" s="37">
        <f ca="1">'Lucros Disponíveis'!K9-Despesas!S10</f>
        <v>0</v>
      </c>
      <c r="J9" s="37">
        <f ca="1">'Lucros Disponíveis'!L9-Despesas!T10</f>
        <v>0</v>
      </c>
    </row>
    <row r="10" spans="1:10" ht="14.25" customHeight="1" x14ac:dyDescent="0.3">
      <c r="A10" s="15">
        <v>45901</v>
      </c>
      <c r="B10" s="37">
        <f ca="1">'Pró-labore'!J11-Despesas!L11</f>
        <v>0</v>
      </c>
      <c r="C10" s="37">
        <f ca="1">'Lucros Disponíveis'!E10-Despesas!M11</f>
        <v>0</v>
      </c>
      <c r="D10" s="37">
        <f ca="1">'Lucros Disponíveis'!F10-Despesas!N11</f>
        <v>0</v>
      </c>
      <c r="E10" s="37">
        <f ca="1">'Pró-labore'!H27-Despesas!O11</f>
        <v>0</v>
      </c>
      <c r="F10" s="37">
        <f ca="1">'Lucros Disponíveis'!H10-Despesas!P11</f>
        <v>0</v>
      </c>
      <c r="G10" s="37">
        <f ca="1">'Lucros Disponíveis'!I10-Despesas!Q11</f>
        <v>0</v>
      </c>
      <c r="H10" s="37">
        <f ca="1">'Lucros Disponíveis'!J10-Despesas!R11</f>
        <v>0</v>
      </c>
      <c r="I10" s="37">
        <f ca="1">'Lucros Disponíveis'!K10-Despesas!S11</f>
        <v>0</v>
      </c>
      <c r="J10" s="37">
        <f ca="1">'Lucros Disponíveis'!L10-Despesas!T11</f>
        <v>0</v>
      </c>
    </row>
    <row r="11" spans="1:10" ht="14.25" customHeight="1" x14ac:dyDescent="0.3">
      <c r="A11" s="15">
        <v>45931</v>
      </c>
      <c r="B11" s="37">
        <f ca="1">'Pró-labore'!J12-Despesas!L12</f>
        <v>0</v>
      </c>
      <c r="C11" s="37">
        <f ca="1">'Lucros Disponíveis'!E11-Despesas!M12</f>
        <v>0</v>
      </c>
      <c r="D11" s="37">
        <f ca="1">'Lucros Disponíveis'!F11-Despesas!N12</f>
        <v>0</v>
      </c>
      <c r="E11" s="37">
        <f ca="1">'Pró-labore'!H28-Despesas!O12</f>
        <v>0</v>
      </c>
      <c r="F11" s="37">
        <f ca="1">'Lucros Disponíveis'!H11-Despesas!P12</f>
        <v>0</v>
      </c>
      <c r="G11" s="37">
        <f ca="1">'Lucros Disponíveis'!I11-Despesas!Q12</f>
        <v>0</v>
      </c>
      <c r="H11" s="37">
        <f ca="1">'Lucros Disponíveis'!J11-Despesas!R12</f>
        <v>0</v>
      </c>
      <c r="I11" s="37">
        <f ca="1">'Lucros Disponíveis'!K11-Despesas!S12</f>
        <v>0</v>
      </c>
      <c r="J11" s="37">
        <f ca="1">'Lucros Disponíveis'!L11-Despesas!T12</f>
        <v>0</v>
      </c>
    </row>
    <row r="12" spans="1:10" ht="14.25" customHeight="1" x14ac:dyDescent="0.3">
      <c r="A12" s="15">
        <v>45962</v>
      </c>
      <c r="B12" s="37">
        <f ca="1">'Pró-labore'!J13-Despesas!L13</f>
        <v>268.29381200378214</v>
      </c>
      <c r="C12" s="37">
        <f ca="1">'Lucros Disponíveis'!E12-Despesas!M13</f>
        <v>1019.4846088039743</v>
      </c>
      <c r="D12" s="37">
        <f ca="1">'Lucros Disponíveis'!F12-Despesas!N13</f>
        <v>0</v>
      </c>
      <c r="E12" s="37">
        <f ca="1">'Pró-labore'!H29-Despesas!O13</f>
        <v>0</v>
      </c>
      <c r="F12" s="37">
        <f ca="1">'Lucros Disponíveis'!H12-Despesas!P13</f>
        <v>0</v>
      </c>
      <c r="G12" s="37">
        <f ca="1">'Lucros Disponíveis'!I12-Despesas!Q13</f>
        <v>0</v>
      </c>
      <c r="H12" s="37">
        <f ca="1">'Lucros Disponíveis'!J12-Despesas!R13</f>
        <v>0</v>
      </c>
      <c r="I12" s="37">
        <f ca="1">'Lucros Disponíveis'!K12-Despesas!S13</f>
        <v>0</v>
      </c>
      <c r="J12" s="37">
        <f ca="1">'Lucros Disponíveis'!L12-Despesas!T13</f>
        <v>0</v>
      </c>
    </row>
    <row r="13" spans="1:10" ht="14.25" customHeight="1" x14ac:dyDescent="0.3">
      <c r="A13" s="15">
        <v>45992</v>
      </c>
      <c r="B13" s="37">
        <f ca="1">'Pró-labore'!J14-Despesas!L14</f>
        <v>0</v>
      </c>
      <c r="C13" s="37">
        <f ca="1">'Lucros Disponíveis'!E13-Despesas!M14</f>
        <v>0</v>
      </c>
      <c r="D13" s="37">
        <f ca="1">'Lucros Disponíveis'!F13-Despesas!N14</f>
        <v>0</v>
      </c>
      <c r="E13" s="37">
        <f ca="1">'Pró-labore'!H30-Despesas!O14</f>
        <v>0</v>
      </c>
      <c r="F13" s="37">
        <f ca="1">'Lucros Disponíveis'!H13-Despesas!P14</f>
        <v>0</v>
      </c>
      <c r="G13" s="37">
        <f ca="1">'Lucros Disponíveis'!I13-Despesas!Q14</f>
        <v>0</v>
      </c>
      <c r="H13" s="37">
        <f ca="1">'Lucros Disponíveis'!J13-Despesas!R14</f>
        <v>0</v>
      </c>
      <c r="I13" s="37">
        <f ca="1">'Lucros Disponíveis'!K13-Despesas!S14</f>
        <v>0</v>
      </c>
      <c r="J13" s="37">
        <f ca="1">'Lucros Disponíveis'!L13-Despesas!T14</f>
        <v>0</v>
      </c>
    </row>
    <row r="14" spans="1:10" ht="14.25" customHeight="1" x14ac:dyDescent="0.3">
      <c r="A14" s="42" t="s">
        <v>122</v>
      </c>
      <c r="B14" s="37">
        <f t="array" aca="1" ref="B14:J14" ca="1">Fundos!D22:L22</f>
        <v>154.92528920499009</v>
      </c>
      <c r="C14" s="37">
        <f ca="1"/>
        <v>176.08280841346595</v>
      </c>
      <c r="D14" s="37">
        <f ca="1"/>
        <v>0</v>
      </c>
      <c r="E14" s="37">
        <f ca="1"/>
        <v>0</v>
      </c>
      <c r="F14" s="37">
        <f ca="1"/>
        <v>0</v>
      </c>
      <c r="G14" s="37">
        <f ca="1"/>
        <v>0</v>
      </c>
      <c r="H14" s="37">
        <f ca="1"/>
        <v>0</v>
      </c>
      <c r="I14" s="37">
        <f ca="1"/>
        <v>0</v>
      </c>
      <c r="J14" s="37">
        <f ca="1"/>
        <v>0</v>
      </c>
    </row>
    <row r="15" spans="1:10" ht="14.25" customHeight="1" x14ac:dyDescent="0.3">
      <c r="A15" s="43" t="s">
        <v>123</v>
      </c>
      <c r="B15" s="37">
        <f t="shared" ref="B15:J15" ca="1" si="0">SUM(B2:B14)</f>
        <v>1404.1249451836968</v>
      </c>
      <c r="C15" s="37">
        <f t="shared" ca="1" si="0"/>
        <v>1751.5605679023718</v>
      </c>
      <c r="D15" s="37">
        <f t="shared" ca="1" si="0"/>
        <v>0</v>
      </c>
      <c r="E15" s="37">
        <f t="shared" ca="1" si="0"/>
        <v>0</v>
      </c>
      <c r="F15" s="37">
        <f t="shared" ca="1" si="0"/>
        <v>0</v>
      </c>
      <c r="G15" s="37">
        <f t="shared" ca="1" si="0"/>
        <v>0</v>
      </c>
      <c r="H15" s="37">
        <f t="shared" ca="1" si="0"/>
        <v>0</v>
      </c>
      <c r="I15" s="37">
        <f t="shared" ca="1" si="0"/>
        <v>0</v>
      </c>
      <c r="J15" s="37">
        <f t="shared" ca="1" si="0"/>
        <v>0</v>
      </c>
    </row>
    <row r="16" spans="1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00"/>
  <sheetViews>
    <sheetView workbookViewId="0">
      <selection activeCell="C19" sqref="C19"/>
    </sheetView>
  </sheetViews>
  <sheetFormatPr defaultColWidth="14.44140625" defaultRowHeight="15" customHeight="1" x14ac:dyDescent="0.3"/>
  <cols>
    <col min="1" max="1" width="14" customWidth="1"/>
    <col min="2" max="2" width="20.6640625" customWidth="1"/>
    <col min="3" max="11" width="15" customWidth="1"/>
    <col min="12" max="12" width="16.44140625" customWidth="1"/>
    <col min="13" max="26" width="8.6640625" customWidth="1"/>
  </cols>
  <sheetData>
    <row r="1" spans="1:12" ht="14.25" customHeight="1" x14ac:dyDescent="0.3">
      <c r="A1" s="1" t="s">
        <v>16</v>
      </c>
      <c r="B1" s="35" t="s">
        <v>124</v>
      </c>
      <c r="C1" s="36" t="s">
        <v>125</v>
      </c>
      <c r="D1" s="1" t="s">
        <v>41</v>
      </c>
      <c r="E1" s="1" t="s">
        <v>49</v>
      </c>
      <c r="F1" s="1" t="s">
        <v>5</v>
      </c>
      <c r="G1" s="1" t="s">
        <v>149</v>
      </c>
      <c r="H1" s="1" t="s">
        <v>7</v>
      </c>
      <c r="I1" s="3" t="s">
        <v>8</v>
      </c>
      <c r="J1" s="3" t="s">
        <v>9</v>
      </c>
      <c r="K1" s="3"/>
      <c r="L1" s="3"/>
    </row>
    <row r="2" spans="1:12" ht="14.25" customHeight="1" x14ac:dyDescent="0.3">
      <c r="A2" s="15">
        <v>45658</v>
      </c>
      <c r="B2" s="37">
        <f ca="1">DRE!K2</f>
        <v>0</v>
      </c>
      <c r="C2" s="37">
        <f ca="1">SUM(B2)</f>
        <v>0</v>
      </c>
      <c r="D2" s="37" t="str">
        <f t="array" aca="1" ref="D2" ca="1">IFERROR(
  INDEX(DRE!$J:$J, MATCH($A2, DRE!$A:$A, 0)) * 0.1 *
  (SUMPRODUCT(
    (MONTH(Entradas!$B$2:$B$100)=MONTH($A2)) *
    (YEAR(Entradas!$B$2:$B$100)=YEAR($A2)) *
    (Entradas!$C$2:$C$100) *
    (Entradas!$D$2:$D$100)
  ) /
  SUMPRODUCT(
    (MONTH(Entradas!$B$2:$B$100)=MONTH($A2)) *
    (YEAR(Entradas!$B$2:$B$100)=YEAR($A2)) *
    (Entradas!$C$2:$C$100)
  )),
"")</f>
        <v/>
      </c>
      <c r="E2" s="37" t="str">
        <f t="array" aca="1" ref="E2" ca="1">IFERROR(
  INDEX(DRE!$J:$J, MATCH($A2, DRE!$A:$A, 0)) * 0.1 *
  (SUMPRODUCT(
    (MONTH(Entradas!$B$2:$B$100)=MONTH($A2)) *
    (YEAR(Entradas!$B$2:$B$100)=YEAR($A2)) *
    (Entradas!$C$2:$C$100) *
    (Entradas!E$2:E$100)
  ) /
  SUMPRODUCT(
    (MONTH(Entradas!$B$2:$B$100)=MONTH($A2)) *
    (YEAR(Entradas!$B$2:$B$100)=YEAR($A2)) *
    (Entradas!$C$2:$C$100)
  )),
"")</f>
        <v/>
      </c>
      <c r="F2" s="37" t="str">
        <f t="array" aca="1" ref="F2" ca="1">IFERROR(
  INDEX(DRE!$J:$J, MATCH($A2, DRE!$A:$A, 0)) * 0.1 *
  (SUMPRODUCT(
    (MONTH(Entradas!$B$2:$B$100)=MONTH($A2)) *
    (YEAR(Entradas!$B$2:$B$100)=YEAR($A2)) *
    (Entradas!$C$2:$C$100) *
    (Entradas!F$2:F$100)
  ) /
  SUMPRODUCT(
    (MONTH(Entradas!$B$2:$B$100)=MONTH($A2)) *
    (YEAR(Entradas!$B$2:$B$100)=YEAR($A2)) *
    (Entradas!$C$2:$C$100)
  )),
"")</f>
        <v/>
      </c>
      <c r="G2" s="37" t="str">
        <f t="array" aca="1" ref="G2" ca="1">IFERROR(
  INDEX(DRE!$J:$J, MATCH($A2, DRE!$A:$A, 0)) * 0.1 *
  (SUMPRODUCT(
    (MONTH(Entradas!$B$2:$B$100)=MONTH($A2)) *
    (YEAR(Entradas!$B$2:$B$100)=YEAR($A2)) *
    (Entradas!$C$2:$C$100) *
    (Entradas!G$2:G$100)
  ) /
  SUMPRODUCT(
    (MONTH(Entradas!$B$2:$B$100)=MONTH($A2)) *
    (YEAR(Entradas!$B$2:$B$100)=YEAR($A2)) *
    (Entradas!$C$2:$C$100)
  )),
"")</f>
        <v/>
      </c>
      <c r="H2" s="37" t="str">
        <f t="array" aca="1" ref="H2" ca="1">IFERROR(
  INDEX(DRE!$J:$J, MATCH($A2, DRE!$A:$A, 0)) * 0.1 *
  (SUMPRODUCT(
    (MONTH(Entradas!$B$2:$B$100)=MONTH($A2)) *
    (YEAR(Entradas!$B$2:$B$100)=YEAR($A2)) *
    (Entradas!$C$2:$C$100) *
    (Entradas!H$2:H$100)
  ) /
  SUMPRODUCT(
    (MONTH(Entradas!$B$2:$B$100)=MONTH($A2)) *
    (YEAR(Entradas!$B$2:$B$100)=YEAR($A2)) *
    (Entradas!$C$2:$C$100)
  )),
"")</f>
        <v/>
      </c>
      <c r="I2" s="37" t="str">
        <f t="array" aca="1" ref="I2" ca="1">IFERROR(
  INDEX(DRE!$J:$J, MATCH($A2, DRE!$A:$A, 0)) * 0.1 *
  (SUMPRODUCT(
    (MONTH(Entradas!$B$2:$B$100)=MONTH($A2)) *
    (YEAR(Entradas!$B$2:$B$100)=YEAR($A2)) *
    (Entradas!$C$2:$C$100) *
    (Entradas!I$2:I$100)
  ) /
  SUMPRODUCT(
    (MONTH(Entradas!$B$2:$B$100)=MONTH($A2)) *
    (YEAR(Entradas!$B$2:$B$100)=YEAR($A2)) *
    (Entradas!$C$2:$C$100)
  )),
"")</f>
        <v/>
      </c>
      <c r="J2" s="37" t="str">
        <f t="array" aca="1" ref="J2" ca="1">IFERROR(
  INDEX(DRE!$J:$J, MATCH($A2, DRE!$A:$A, 0)) * 0.1 *
  (SUMPRODUCT(
    (MONTH(Entradas!$B$2:$B$100)=MONTH($A2)) *
    (YEAR(Entradas!$B$2:$B$100)=YEAR($A2)) *
    (Entradas!$C$2:$C$100) *
    (Entradas!J$2:J$100)
  ) /
  SUMPRODUCT(
    (MONTH(Entradas!$B$2:$B$100)=MONTH($A2)) *
    (YEAR(Entradas!$B$2:$B$100)=YEAR($A2)) *
    (Entradas!$C$2:$C$100)
  )),
"")</f>
        <v/>
      </c>
      <c r="K2" s="37" t="str">
        <f t="array" aca="1" ref="K2" ca="1">IFERROR(
  INDEX(DRE!$J:$J, MATCH($A2, DRE!$A:$A, 0)) * 0.1 *
  (SUMPRODUCT(
    (MONTH(Entradas!$B$2:$B$100)=MONTH($A2)) *
    (YEAR(Entradas!$B$2:$B$100)=YEAR($A2)) *
    (Entradas!$C$2:$C$100) *
    (Entradas!K$2:K$100)
  ) /
  SUMPRODUCT(
    (MONTH(Entradas!$B$2:$B$100)=MONTH($A2)) *
    (YEAR(Entradas!$B$2:$B$100)=YEAR($A2)) *
    (Entradas!$C$2:$C$100)
  )),
"")</f>
        <v/>
      </c>
      <c r="L2" s="37" t="str">
        <f t="array" aca="1" ref="L2" ca="1">IFERROR(
  INDEX(DRE!$J:$J, MATCH($A2, DRE!$A:$A, 0)) * 0.1 *
  (SUMPRODUCT(
    (MONTH(Entradas!$B$2:$B$100)=MONTH($A2)) *
    (YEAR(Entradas!$B$2:$B$100)=YEAR($A2)) *
    (Entradas!$C$2:$C$100) *
    (Entradas!L$2:L$100)
  ) /
  SUMPRODUCT(
    (MONTH(Entradas!$B$2:$B$100)=MONTH($A2)) *
    (YEAR(Entradas!$B$2:$B$100)=YEAR($A2)) *
    (Entradas!$C$2:$C$100)
  )),
"")</f>
        <v/>
      </c>
    </row>
    <row r="3" spans="1:12" ht="14.25" customHeight="1" x14ac:dyDescent="0.3">
      <c r="A3" s="15">
        <v>45689</v>
      </c>
      <c r="B3" s="37">
        <f ca="1">DRE!K3</f>
        <v>0</v>
      </c>
      <c r="C3" s="37">
        <f ca="1">SUM(B2:B3)</f>
        <v>0</v>
      </c>
      <c r="D3" s="37" t="str">
        <f t="array" aca="1" ref="D3" ca="1">IFERROR(
  INDEX(DRE!$J:$J, MATCH($A3, DRE!$A:$A, 0)) * 0.1 *
  (SUMPRODUCT(
    (MONTH(Entradas!$B$2:$B$100)=MONTH($A3)) *
    (YEAR(Entradas!$B$2:$B$100)=YEAR($A3)) *
    (Entradas!$C$2:$C$100) *
    (Entradas!$D$2:$D$100)
  ) /
  SUMPRODUCT(
    (MONTH(Entradas!$B$2:$B$100)=MONTH($A3)) *
    (YEAR(Entradas!$B$2:$B$100)=YEAR($A3)) *
    (Entradas!$C$2:$C$100)
  )),
"")</f>
        <v/>
      </c>
      <c r="E3" s="37" t="str">
        <f t="array" aca="1" ref="E3" ca="1">IFERROR(
  INDEX(DRE!$J:$J, MATCH($A3, DRE!$A:$A, 0)) * 0.1 *
  (SUMPRODUCT(
    (MONTH(Entradas!$B$2:$B$100)=MONTH($A3)) *
    (YEAR(Entradas!$B$2:$B$100)=YEAR($A3)) *
    (Entradas!$C$2:$C$100) *
    (Entradas!E$2:E$100)
  ) /
  SUMPRODUCT(
    (MONTH(Entradas!$B$2:$B$100)=MONTH($A3)) *
    (YEAR(Entradas!$B$2:$B$100)=YEAR($A3)) *
    (Entradas!$C$2:$C$100)
  )),
"")</f>
        <v/>
      </c>
      <c r="F3" s="37" t="str">
        <f t="array" aca="1" ref="F3" ca="1">IFERROR(
  INDEX(DRE!$J:$J, MATCH($A3, DRE!$A:$A, 0)) * 0.1 *
  (SUMPRODUCT(
    (MONTH(Entradas!$B$2:$B$100)=MONTH($A3)) *
    (YEAR(Entradas!$B$2:$B$100)=YEAR($A3)) *
    (Entradas!$C$2:$C$100) *
    (Entradas!F$2:F$100)
  ) /
  SUMPRODUCT(
    (MONTH(Entradas!$B$2:$B$100)=MONTH($A3)) *
    (YEAR(Entradas!$B$2:$B$100)=YEAR($A3)) *
    (Entradas!$C$2:$C$100)
  )),
"")</f>
        <v/>
      </c>
      <c r="G3" s="37" t="str">
        <f t="array" aca="1" ref="G3" ca="1">IFERROR(
  INDEX(DRE!$J:$J, MATCH($A3, DRE!$A:$A, 0)) * 0.1 *
  (SUMPRODUCT(
    (MONTH(Entradas!$B$2:$B$100)=MONTH($A3)) *
    (YEAR(Entradas!$B$2:$B$100)=YEAR($A3)) *
    (Entradas!$C$2:$C$100) *
    (Entradas!G$2:G$100)
  ) /
  SUMPRODUCT(
    (MONTH(Entradas!$B$2:$B$100)=MONTH($A3)) *
    (YEAR(Entradas!$B$2:$B$100)=YEAR($A3)) *
    (Entradas!$C$2:$C$100)
  )),
"")</f>
        <v/>
      </c>
      <c r="H3" s="37" t="str">
        <f t="array" aca="1" ref="H3" ca="1">IFERROR(
  INDEX(DRE!$J:$J, MATCH($A3, DRE!$A:$A, 0)) * 0.1 *
  (SUMPRODUCT(
    (MONTH(Entradas!$B$2:$B$100)=MONTH($A3)) *
    (YEAR(Entradas!$B$2:$B$100)=YEAR($A3)) *
    (Entradas!$C$2:$C$100) *
    (Entradas!H$2:H$100)
  ) /
  SUMPRODUCT(
    (MONTH(Entradas!$B$2:$B$100)=MONTH($A3)) *
    (YEAR(Entradas!$B$2:$B$100)=YEAR($A3)) *
    (Entradas!$C$2:$C$100)
  )),
"")</f>
        <v/>
      </c>
      <c r="I3" s="37" t="str">
        <f t="array" aca="1" ref="I3" ca="1">IFERROR(
  INDEX(DRE!$J:$J, MATCH($A3, DRE!$A:$A, 0)) * 0.1 *
  (SUMPRODUCT(
    (MONTH(Entradas!$B$2:$B$100)=MONTH($A3)) *
    (YEAR(Entradas!$B$2:$B$100)=YEAR($A3)) *
    (Entradas!$C$2:$C$100) *
    (Entradas!I$2:I$100)
  ) /
  SUMPRODUCT(
    (MONTH(Entradas!$B$2:$B$100)=MONTH($A3)) *
    (YEAR(Entradas!$B$2:$B$100)=YEAR($A3)) *
    (Entradas!$C$2:$C$100)
  )),
"")</f>
        <v/>
      </c>
      <c r="J3" s="37" t="str">
        <f t="array" aca="1" ref="J3" ca="1">IFERROR(
  INDEX(DRE!$J:$J, MATCH($A3, DRE!$A:$A, 0)) * 0.1 *
  (SUMPRODUCT(
    (MONTH(Entradas!$B$2:$B$100)=MONTH($A3)) *
    (YEAR(Entradas!$B$2:$B$100)=YEAR($A3)) *
    (Entradas!$C$2:$C$100) *
    (Entradas!J$2:J$100)
  ) /
  SUMPRODUCT(
    (MONTH(Entradas!$B$2:$B$100)=MONTH($A3)) *
    (YEAR(Entradas!$B$2:$B$100)=YEAR($A3)) *
    (Entradas!$C$2:$C$100)
  )),
"")</f>
        <v/>
      </c>
      <c r="K3" s="37" t="str">
        <f t="array" aca="1" ref="K3" ca="1">IFERROR(
  INDEX(DRE!$J:$J, MATCH($A3, DRE!$A:$A, 0)) * 0.1 *
  (SUMPRODUCT(
    (MONTH(Entradas!$B$2:$B$100)=MONTH($A3)) *
    (YEAR(Entradas!$B$2:$B$100)=YEAR($A3)) *
    (Entradas!$C$2:$C$100) *
    (Entradas!K$2:K$100)
  ) /
  SUMPRODUCT(
    (MONTH(Entradas!$B$2:$B$100)=MONTH($A3)) *
    (YEAR(Entradas!$B$2:$B$100)=YEAR($A3)) *
    (Entradas!$C$2:$C$100)
  )),
"")</f>
        <v/>
      </c>
      <c r="L3" s="37" t="str">
        <f t="array" aca="1" ref="L3" ca="1">IFERROR(
  INDEX(DRE!$J:$J, MATCH($A3, DRE!$A:$A, 0)) * 0.1 *
  (SUMPRODUCT(
    (MONTH(Entradas!$B$2:$B$100)=MONTH($A3)) *
    (YEAR(Entradas!$B$2:$B$100)=YEAR($A3)) *
    (Entradas!$C$2:$C$100) *
    (Entradas!L$2:L$100)
  ) /
  SUMPRODUCT(
    (MONTH(Entradas!$B$2:$B$100)=MONTH($A3)) *
    (YEAR(Entradas!$B$2:$B$100)=YEAR($A3)) *
    (Entradas!$C$2:$C$100)
  )),
"")</f>
        <v/>
      </c>
    </row>
    <row r="4" spans="1:12" ht="14.25" customHeight="1" x14ac:dyDescent="0.3">
      <c r="A4" s="15">
        <v>45717</v>
      </c>
      <c r="B4" s="37">
        <f ca="1">DRE!K4</f>
        <v>0</v>
      </c>
      <c r="C4" s="37">
        <f ca="1">SUM(B2:B4)</f>
        <v>0</v>
      </c>
      <c r="D4" s="37" t="str">
        <f t="array" aca="1" ref="D4" ca="1">IFERROR(
  INDEX(DRE!$J:$J, MATCH($A4, DRE!$A:$A, 0)) * 0.1 *
  (SUMPRODUCT(
    (MONTH(Entradas!$B$2:$B$100)=MONTH($A4)) *
    (YEAR(Entradas!$B$2:$B$100)=YEAR($A4)) *
    (Entradas!$C$2:$C$100) *
    (Entradas!$D$2:$D$100)
  ) /
  SUMPRODUCT(
    (MONTH(Entradas!$B$2:$B$100)=MONTH($A4)) *
    (YEAR(Entradas!$B$2:$B$100)=YEAR($A4)) *
    (Entradas!$C$2:$C$100)
  )),
"")</f>
        <v/>
      </c>
      <c r="E4" s="37" t="str">
        <f t="array" aca="1" ref="E4" ca="1">IFERROR(
  INDEX(DRE!$J:$J, MATCH($A4, DRE!$A:$A, 0)) * 0.1 *
  (SUMPRODUCT(
    (MONTH(Entradas!$B$2:$B$100)=MONTH($A4)) *
    (YEAR(Entradas!$B$2:$B$100)=YEAR($A4)) *
    (Entradas!$C$2:$C$100) *
    (Entradas!E$2:E$100)
  ) /
  SUMPRODUCT(
    (MONTH(Entradas!$B$2:$B$100)=MONTH($A4)) *
    (YEAR(Entradas!$B$2:$B$100)=YEAR($A4)) *
    (Entradas!$C$2:$C$100)
  )),
"")</f>
        <v/>
      </c>
      <c r="F4" s="37" t="str">
        <f t="array" aca="1" ref="F4" ca="1">IFERROR(
  INDEX(DRE!$J:$J, MATCH($A4, DRE!$A:$A, 0)) * 0.1 *
  (SUMPRODUCT(
    (MONTH(Entradas!$B$2:$B$100)=MONTH($A4)) *
    (YEAR(Entradas!$B$2:$B$100)=YEAR($A4)) *
    (Entradas!$C$2:$C$100) *
    (Entradas!F$2:F$100)
  ) /
  SUMPRODUCT(
    (MONTH(Entradas!$B$2:$B$100)=MONTH($A4)) *
    (YEAR(Entradas!$B$2:$B$100)=YEAR($A4)) *
    (Entradas!$C$2:$C$100)
  )),
"")</f>
        <v/>
      </c>
      <c r="G4" s="37" t="str">
        <f t="array" aca="1" ref="G4" ca="1">IFERROR(
  INDEX(DRE!$J:$J, MATCH($A4, DRE!$A:$A, 0)) * 0.1 *
  (SUMPRODUCT(
    (MONTH(Entradas!$B$2:$B$100)=MONTH($A4)) *
    (YEAR(Entradas!$B$2:$B$100)=YEAR($A4)) *
    (Entradas!$C$2:$C$100) *
    (Entradas!G$2:G$100)
  ) /
  SUMPRODUCT(
    (MONTH(Entradas!$B$2:$B$100)=MONTH($A4)) *
    (YEAR(Entradas!$B$2:$B$100)=YEAR($A4)) *
    (Entradas!$C$2:$C$100)
  )),
"")</f>
        <v/>
      </c>
      <c r="H4" s="37" t="str">
        <f t="array" aca="1" ref="H4" ca="1">IFERROR(
  INDEX(DRE!$J:$J, MATCH($A4, DRE!$A:$A, 0)) * 0.1 *
  (SUMPRODUCT(
    (MONTH(Entradas!$B$2:$B$100)=MONTH($A4)) *
    (YEAR(Entradas!$B$2:$B$100)=YEAR($A4)) *
    (Entradas!$C$2:$C$100) *
    (Entradas!H$2:H$100)
  ) /
  SUMPRODUCT(
    (MONTH(Entradas!$B$2:$B$100)=MONTH($A4)) *
    (YEAR(Entradas!$B$2:$B$100)=YEAR($A4)) *
    (Entradas!$C$2:$C$100)
  )),
"")</f>
        <v/>
      </c>
      <c r="I4" s="37" t="str">
        <f t="array" aca="1" ref="I4" ca="1">IFERROR(
  INDEX(DRE!$J:$J, MATCH($A4, DRE!$A:$A, 0)) * 0.1 *
  (SUMPRODUCT(
    (MONTH(Entradas!$B$2:$B$100)=MONTH($A4)) *
    (YEAR(Entradas!$B$2:$B$100)=YEAR($A4)) *
    (Entradas!$C$2:$C$100) *
    (Entradas!I$2:I$100)
  ) /
  SUMPRODUCT(
    (MONTH(Entradas!$B$2:$B$100)=MONTH($A4)) *
    (YEAR(Entradas!$B$2:$B$100)=YEAR($A4)) *
    (Entradas!$C$2:$C$100)
  )),
"")</f>
        <v/>
      </c>
      <c r="J4" s="37" t="str">
        <f t="array" aca="1" ref="J4" ca="1">IFERROR(
  INDEX(DRE!$J:$J, MATCH($A4, DRE!$A:$A, 0)) * 0.1 *
  (SUMPRODUCT(
    (MONTH(Entradas!$B$2:$B$100)=MONTH($A4)) *
    (YEAR(Entradas!$B$2:$B$100)=YEAR($A4)) *
    (Entradas!$C$2:$C$100) *
    (Entradas!J$2:J$100)
  ) /
  SUMPRODUCT(
    (MONTH(Entradas!$B$2:$B$100)=MONTH($A4)) *
    (YEAR(Entradas!$B$2:$B$100)=YEAR($A4)) *
    (Entradas!$C$2:$C$100)
  )),
"")</f>
        <v/>
      </c>
      <c r="K4" s="37" t="str">
        <f t="array" aca="1" ref="K4" ca="1">IFERROR(
  INDEX(DRE!$J:$J, MATCH($A4, DRE!$A:$A, 0)) * 0.1 *
  (SUMPRODUCT(
    (MONTH(Entradas!$B$2:$B$100)=MONTH($A4)) *
    (YEAR(Entradas!$B$2:$B$100)=YEAR($A4)) *
    (Entradas!$C$2:$C$100) *
    (Entradas!K$2:K$100)
  ) /
  SUMPRODUCT(
    (MONTH(Entradas!$B$2:$B$100)=MONTH($A4)) *
    (YEAR(Entradas!$B$2:$B$100)=YEAR($A4)) *
    (Entradas!$C$2:$C$100)
  )),
"")</f>
        <v/>
      </c>
      <c r="L4" s="37" t="str">
        <f t="array" aca="1" ref="L4" ca="1">IFERROR(
  INDEX(DRE!$J:$J, MATCH($A4, DRE!$A:$A, 0)) * 0.1 *
  (SUMPRODUCT(
    (MONTH(Entradas!$B$2:$B$100)=MONTH($A4)) *
    (YEAR(Entradas!$B$2:$B$100)=YEAR($A4)) *
    (Entradas!$C$2:$C$100) *
    (Entradas!L$2:L$100)
  ) /
  SUMPRODUCT(
    (MONTH(Entradas!$B$2:$B$100)=MONTH($A4)) *
    (YEAR(Entradas!$B$2:$B$100)=YEAR($A4)) *
    (Entradas!$C$2:$C$100)
  )),
"")</f>
        <v/>
      </c>
    </row>
    <row r="5" spans="1:12" ht="14.25" customHeight="1" x14ac:dyDescent="0.3">
      <c r="A5" s="15">
        <v>45748</v>
      </c>
      <c r="B5" s="37">
        <f ca="1">DRE!K5</f>
        <v>0</v>
      </c>
      <c r="C5" s="37">
        <f ca="1">SUM(B2:B5)</f>
        <v>0</v>
      </c>
      <c r="D5" s="37" t="str">
        <f t="array" aca="1" ref="D5" ca="1">IFERROR(
  INDEX(DRE!$J:$J, MATCH($A5, DRE!$A:$A, 0)) * 0.1 *
  (SUMPRODUCT(
    (MONTH(Entradas!$B$2:$B$100)=MONTH($A5)) *
    (YEAR(Entradas!$B$2:$B$100)=YEAR($A5)) *
    (Entradas!$C$2:$C$100) *
    (Entradas!$D$2:$D$100)
  ) /
  SUMPRODUCT(
    (MONTH(Entradas!$B$2:$B$100)=MONTH($A5)) *
    (YEAR(Entradas!$B$2:$B$100)=YEAR($A5)) *
    (Entradas!$C$2:$C$100)
  )),
"")</f>
        <v/>
      </c>
      <c r="E5" s="37" t="str">
        <f t="array" aca="1" ref="E5" ca="1">IFERROR(
  INDEX(DRE!$J:$J, MATCH($A5, DRE!$A:$A, 0)) * 0.1 *
  (SUMPRODUCT(
    (MONTH(Entradas!$B$2:$B$100)=MONTH($A5)) *
    (YEAR(Entradas!$B$2:$B$100)=YEAR($A5)) *
    (Entradas!$C$2:$C$100) *
    (Entradas!E$2:E$100)
  ) /
  SUMPRODUCT(
    (MONTH(Entradas!$B$2:$B$100)=MONTH($A5)) *
    (YEAR(Entradas!$B$2:$B$100)=YEAR($A5)) *
    (Entradas!$C$2:$C$100)
  )),
"")</f>
        <v/>
      </c>
      <c r="F5" s="37" t="str">
        <f t="array" aca="1" ref="F5" ca="1">IFERROR(
  INDEX(DRE!$J:$J, MATCH($A5, DRE!$A:$A, 0)) * 0.1 *
  (SUMPRODUCT(
    (MONTH(Entradas!$B$2:$B$100)=MONTH($A5)) *
    (YEAR(Entradas!$B$2:$B$100)=YEAR($A5)) *
    (Entradas!$C$2:$C$100) *
    (Entradas!F$2:F$100)
  ) /
  SUMPRODUCT(
    (MONTH(Entradas!$B$2:$B$100)=MONTH($A5)) *
    (YEAR(Entradas!$B$2:$B$100)=YEAR($A5)) *
    (Entradas!$C$2:$C$100)
  )),
"")</f>
        <v/>
      </c>
      <c r="G5" s="37" t="str">
        <f t="array" aca="1" ref="G5" ca="1">IFERROR(
  INDEX(DRE!$J:$J, MATCH($A5, DRE!$A:$A, 0)) * 0.1 *
  (SUMPRODUCT(
    (MONTH(Entradas!$B$2:$B$100)=MONTH($A5)) *
    (YEAR(Entradas!$B$2:$B$100)=YEAR($A5)) *
    (Entradas!$C$2:$C$100) *
    (Entradas!G$2:G$100)
  ) /
  SUMPRODUCT(
    (MONTH(Entradas!$B$2:$B$100)=MONTH($A5)) *
    (YEAR(Entradas!$B$2:$B$100)=YEAR($A5)) *
    (Entradas!$C$2:$C$100)
  )),
"")</f>
        <v/>
      </c>
      <c r="H5" s="37" t="str">
        <f t="array" aca="1" ref="H5" ca="1">IFERROR(
  INDEX(DRE!$J:$J, MATCH($A5, DRE!$A:$A, 0)) * 0.1 *
  (SUMPRODUCT(
    (MONTH(Entradas!$B$2:$B$100)=MONTH($A5)) *
    (YEAR(Entradas!$B$2:$B$100)=YEAR($A5)) *
    (Entradas!$C$2:$C$100) *
    (Entradas!H$2:H$100)
  ) /
  SUMPRODUCT(
    (MONTH(Entradas!$B$2:$B$100)=MONTH($A5)) *
    (YEAR(Entradas!$B$2:$B$100)=YEAR($A5)) *
    (Entradas!$C$2:$C$100)
  )),
"")</f>
        <v/>
      </c>
      <c r="I5" s="37" t="str">
        <f t="array" aca="1" ref="I5" ca="1">IFERROR(
  INDEX(DRE!$J:$J, MATCH($A5, DRE!$A:$A, 0)) * 0.1 *
  (SUMPRODUCT(
    (MONTH(Entradas!$B$2:$B$100)=MONTH($A5)) *
    (YEAR(Entradas!$B$2:$B$100)=YEAR($A5)) *
    (Entradas!$C$2:$C$100) *
    (Entradas!I$2:I$100)
  ) /
  SUMPRODUCT(
    (MONTH(Entradas!$B$2:$B$100)=MONTH($A5)) *
    (YEAR(Entradas!$B$2:$B$100)=YEAR($A5)) *
    (Entradas!$C$2:$C$100)
  )),
"")</f>
        <v/>
      </c>
      <c r="J5" s="37" t="str">
        <f t="array" aca="1" ref="J5" ca="1">IFERROR(
  INDEX(DRE!$J:$J, MATCH($A5, DRE!$A:$A, 0)) * 0.1 *
  (SUMPRODUCT(
    (MONTH(Entradas!$B$2:$B$100)=MONTH($A5)) *
    (YEAR(Entradas!$B$2:$B$100)=YEAR($A5)) *
    (Entradas!$C$2:$C$100) *
    (Entradas!J$2:J$100)
  ) /
  SUMPRODUCT(
    (MONTH(Entradas!$B$2:$B$100)=MONTH($A5)) *
    (YEAR(Entradas!$B$2:$B$100)=YEAR($A5)) *
    (Entradas!$C$2:$C$100)
  )),
"")</f>
        <v/>
      </c>
      <c r="K5" s="37" t="str">
        <f t="array" aca="1" ref="K5" ca="1">IFERROR(
  INDEX(DRE!$J:$J, MATCH($A5, DRE!$A:$A, 0)) * 0.1 *
  (SUMPRODUCT(
    (MONTH(Entradas!$B$2:$B$100)=MONTH($A5)) *
    (YEAR(Entradas!$B$2:$B$100)=YEAR($A5)) *
    (Entradas!$C$2:$C$100) *
    (Entradas!K$2:K$100)
  ) /
  SUMPRODUCT(
    (MONTH(Entradas!$B$2:$B$100)=MONTH($A5)) *
    (YEAR(Entradas!$B$2:$B$100)=YEAR($A5)) *
    (Entradas!$C$2:$C$100)
  )),
"")</f>
        <v/>
      </c>
      <c r="L5" s="37" t="str">
        <f t="array" aca="1" ref="L5" ca="1">IFERROR(
  INDEX(DRE!$J:$J, MATCH($A5, DRE!$A:$A, 0)) * 0.1 *
  (SUMPRODUCT(
    (MONTH(Entradas!$B$2:$B$100)=MONTH($A5)) *
    (YEAR(Entradas!$B$2:$B$100)=YEAR($A5)) *
    (Entradas!$C$2:$C$100) *
    (Entradas!L$2:L$100)
  ) /
  SUMPRODUCT(
    (MONTH(Entradas!$B$2:$B$100)=MONTH($A5)) *
    (YEAR(Entradas!$B$2:$B$100)=YEAR($A5)) *
    (Entradas!$C$2:$C$100)
  )),
"")</f>
        <v/>
      </c>
    </row>
    <row r="6" spans="1:12" ht="14.25" customHeight="1" x14ac:dyDescent="0.3">
      <c r="A6" s="15">
        <v>45778</v>
      </c>
      <c r="B6" s="37">
        <f ca="1">DRE!K6</f>
        <v>0</v>
      </c>
      <c r="C6" s="37">
        <f ca="1">SUM(B2:B6)</f>
        <v>0</v>
      </c>
      <c r="D6" s="37" t="str">
        <f t="array" aca="1" ref="D6" ca="1">IFERROR(
  INDEX(DRE!$J:$J, MATCH($A6, DRE!$A:$A, 0)) * 0.1 *
  (SUMPRODUCT(
    (MONTH(Entradas!$B$2:$B$100)=MONTH($A6)) *
    (YEAR(Entradas!$B$2:$B$100)=YEAR($A6)) *
    (Entradas!$C$2:$C$100) *
    (Entradas!$D$2:$D$100)
  ) /
  SUMPRODUCT(
    (MONTH(Entradas!$B$2:$B$100)=MONTH($A6)) *
    (YEAR(Entradas!$B$2:$B$100)=YEAR($A6)) *
    (Entradas!$C$2:$C$100)
  )),
"")</f>
        <v/>
      </c>
      <c r="E6" s="37" t="str">
        <f t="array" aca="1" ref="E6" ca="1">IFERROR(
  INDEX(DRE!$J:$J, MATCH($A6, DRE!$A:$A, 0)) * 0.1 *
  (SUMPRODUCT(
    (MONTH(Entradas!$B$2:$B$100)=MONTH($A6)) *
    (YEAR(Entradas!$B$2:$B$100)=YEAR($A6)) *
    (Entradas!$C$2:$C$100) *
    (Entradas!E$2:E$100)
  ) /
  SUMPRODUCT(
    (MONTH(Entradas!$B$2:$B$100)=MONTH($A6)) *
    (YEAR(Entradas!$B$2:$B$100)=YEAR($A6)) *
    (Entradas!$C$2:$C$100)
  )),
"")</f>
        <v/>
      </c>
      <c r="F6" s="37" t="str">
        <f t="array" aca="1" ref="F6" ca="1">IFERROR(
  INDEX(DRE!$J:$J, MATCH($A6, DRE!$A:$A, 0)) * 0.1 *
  (SUMPRODUCT(
    (MONTH(Entradas!$B$2:$B$100)=MONTH($A6)) *
    (YEAR(Entradas!$B$2:$B$100)=YEAR($A6)) *
    (Entradas!$C$2:$C$100) *
    (Entradas!F$2:F$100)
  ) /
  SUMPRODUCT(
    (MONTH(Entradas!$B$2:$B$100)=MONTH($A6)) *
    (YEAR(Entradas!$B$2:$B$100)=YEAR($A6)) *
    (Entradas!$C$2:$C$100)
  )),
"")</f>
        <v/>
      </c>
      <c r="G6" s="37" t="str">
        <f t="array" aca="1" ref="G6" ca="1">IFERROR(
  INDEX(DRE!$J:$J, MATCH($A6, DRE!$A:$A, 0)) * 0.1 *
  (SUMPRODUCT(
    (MONTH(Entradas!$B$2:$B$100)=MONTH($A6)) *
    (YEAR(Entradas!$B$2:$B$100)=YEAR($A6)) *
    (Entradas!$C$2:$C$100) *
    (Entradas!G$2:G$100)
  ) /
  SUMPRODUCT(
    (MONTH(Entradas!$B$2:$B$100)=MONTH($A6)) *
    (YEAR(Entradas!$B$2:$B$100)=YEAR($A6)) *
    (Entradas!$C$2:$C$100)
  )),
"")</f>
        <v/>
      </c>
      <c r="H6" s="37" t="str">
        <f t="array" aca="1" ref="H6" ca="1">IFERROR(
  INDEX(DRE!$J:$J, MATCH($A6, DRE!$A:$A, 0)) * 0.1 *
  (SUMPRODUCT(
    (MONTH(Entradas!$B$2:$B$100)=MONTH($A6)) *
    (YEAR(Entradas!$B$2:$B$100)=YEAR($A6)) *
    (Entradas!$C$2:$C$100) *
    (Entradas!H$2:H$100)
  ) /
  SUMPRODUCT(
    (MONTH(Entradas!$B$2:$B$100)=MONTH($A6)) *
    (YEAR(Entradas!$B$2:$B$100)=YEAR($A6)) *
    (Entradas!$C$2:$C$100)
  )),
"")</f>
        <v/>
      </c>
      <c r="I6" s="37" t="str">
        <f t="array" aca="1" ref="I6" ca="1">IFERROR(
  INDEX(DRE!$J:$J, MATCH($A6, DRE!$A:$A, 0)) * 0.1 *
  (SUMPRODUCT(
    (MONTH(Entradas!$B$2:$B$100)=MONTH($A6)) *
    (YEAR(Entradas!$B$2:$B$100)=YEAR($A6)) *
    (Entradas!$C$2:$C$100) *
    (Entradas!I$2:I$100)
  ) /
  SUMPRODUCT(
    (MONTH(Entradas!$B$2:$B$100)=MONTH($A6)) *
    (YEAR(Entradas!$B$2:$B$100)=YEAR($A6)) *
    (Entradas!$C$2:$C$100)
  )),
"")</f>
        <v/>
      </c>
      <c r="J6" s="37" t="str">
        <f t="array" aca="1" ref="J6" ca="1">IFERROR(
  INDEX(DRE!$J:$J, MATCH($A6, DRE!$A:$A, 0)) * 0.1 *
  (SUMPRODUCT(
    (MONTH(Entradas!$B$2:$B$100)=MONTH($A6)) *
    (YEAR(Entradas!$B$2:$B$100)=YEAR($A6)) *
    (Entradas!$C$2:$C$100) *
    (Entradas!J$2:J$100)
  ) /
  SUMPRODUCT(
    (MONTH(Entradas!$B$2:$B$100)=MONTH($A6)) *
    (YEAR(Entradas!$B$2:$B$100)=YEAR($A6)) *
    (Entradas!$C$2:$C$100)
  )),
"")</f>
        <v/>
      </c>
      <c r="K6" s="37" t="str">
        <f t="array" aca="1" ref="K6" ca="1">IFERROR(
  INDEX(DRE!$J:$J, MATCH($A6, DRE!$A:$A, 0)) * 0.1 *
  (SUMPRODUCT(
    (MONTH(Entradas!$B$2:$B$100)=MONTH($A6)) *
    (YEAR(Entradas!$B$2:$B$100)=YEAR($A6)) *
    (Entradas!$C$2:$C$100) *
    (Entradas!K$2:K$100)
  ) /
  SUMPRODUCT(
    (MONTH(Entradas!$B$2:$B$100)=MONTH($A6)) *
    (YEAR(Entradas!$B$2:$B$100)=YEAR($A6)) *
    (Entradas!$C$2:$C$100)
  )),
"")</f>
        <v/>
      </c>
      <c r="L6" s="37" t="str">
        <f t="array" aca="1" ref="L6" ca="1">IFERROR(
  INDEX(DRE!$J:$J, MATCH($A6, DRE!$A:$A, 0)) * 0.1 *
  (SUMPRODUCT(
    (MONTH(Entradas!$B$2:$B$100)=MONTH($A6)) *
    (YEAR(Entradas!$B$2:$B$100)=YEAR($A6)) *
    (Entradas!$C$2:$C$100) *
    (Entradas!L$2:L$100)
  ) /
  SUMPRODUCT(
    (MONTH(Entradas!$B$2:$B$100)=MONTH($A6)) *
    (YEAR(Entradas!$B$2:$B$100)=YEAR($A6)) *
    (Entradas!$C$2:$C$100)
  )),
"")</f>
        <v/>
      </c>
    </row>
    <row r="7" spans="1:12" ht="14.25" customHeight="1" x14ac:dyDescent="0.3">
      <c r="A7" s="15">
        <v>45809</v>
      </c>
      <c r="B7" s="37">
        <f ca="1">DRE!K7</f>
        <v>130.82191780821918</v>
      </c>
      <c r="C7" s="37">
        <f ca="1">SUM(B2:B7)</f>
        <v>130.82191780821918</v>
      </c>
      <c r="D7" s="37">
        <f t="array" aca="1" ref="D7" ca="1">IFERROR(
  INDEX(DRE!$J:$J, MATCH($A7, DRE!$A:$A, 0)) * 0.1 *
  (SUMPRODUCT(
    (MONTH(Entradas!$B$2:$B$100)=MONTH($A7)) *
    (YEAR(Entradas!$B$2:$B$100)=YEAR($A7)) *
    (Entradas!$C$2:$C$100) *
    (Entradas!$D$2:$D$100)
  ) /
  SUMPRODUCT(
    (MONTH(Entradas!$B$2:$B$100)=MONTH($A7)) *
    (YEAR(Entradas!$B$2:$B$100)=YEAR($A7)) *
    (Entradas!$C$2:$C$100)
  )),
"")</f>
        <v>65.410958904109592</v>
      </c>
      <c r="E7" s="37">
        <f t="array" aca="1" ref="E7" ca="1">IFERROR(
  INDEX(DRE!$J:$J, MATCH($A7, DRE!$A:$A, 0)) * 0.1 *
  (SUMPRODUCT(
    (MONTH(Entradas!$B$2:$B$100)=MONTH($A7)) *
    (YEAR(Entradas!$B$2:$B$100)=YEAR($A7)) *
    (Entradas!$C$2:$C$100) *
    (Entradas!E$2:E$100)
  ) /
  SUMPRODUCT(
    (MONTH(Entradas!$B$2:$B$100)=MONTH($A7)) *
    (YEAR(Entradas!$B$2:$B$100)=YEAR($A7)) *
    (Entradas!$C$2:$C$100)
  )),
"")</f>
        <v>65.410958904109592</v>
      </c>
      <c r="F7" s="37">
        <f t="array" aca="1" ref="F7" ca="1">IFERROR(
  INDEX(DRE!$J:$J, MATCH($A7, DRE!$A:$A, 0)) * 0.1 *
  (SUMPRODUCT(
    (MONTH(Entradas!$B$2:$B$100)=MONTH($A7)) *
    (YEAR(Entradas!$B$2:$B$100)=YEAR($A7)) *
    (Entradas!$C$2:$C$100) *
    (Entradas!F$2:F$100)
  ) /
  SUMPRODUCT(
    (MONTH(Entradas!$B$2:$B$100)=MONTH($A7)) *
    (YEAR(Entradas!$B$2:$B$100)=YEAR($A7)) *
    (Entradas!$C$2:$C$100)
  )),
"")</f>
        <v>0</v>
      </c>
      <c r="G7" s="37">
        <f t="array" aca="1" ref="G7" ca="1">IFERROR(
  INDEX(DRE!$J:$J, MATCH($A7, DRE!$A:$A, 0)) * 0.1 *
  (SUMPRODUCT(
    (MONTH(Entradas!$B$2:$B$100)=MONTH($A7)) *
    (YEAR(Entradas!$B$2:$B$100)=YEAR($A7)) *
    (Entradas!$C$2:$C$100) *
    (Entradas!G$2:G$100)
  ) /
  SUMPRODUCT(
    (MONTH(Entradas!$B$2:$B$100)=MONTH($A7)) *
    (YEAR(Entradas!$B$2:$B$100)=YEAR($A7)) *
    (Entradas!$C$2:$C$100)
  )),
"")</f>
        <v>0</v>
      </c>
      <c r="H7" s="37">
        <f t="array" aca="1" ref="H7" ca="1">IFERROR(
  INDEX(DRE!$J:$J, MATCH($A7, DRE!$A:$A, 0)) * 0.1 *
  (SUMPRODUCT(
    (MONTH(Entradas!$B$2:$B$100)=MONTH($A7)) *
    (YEAR(Entradas!$B$2:$B$100)=YEAR($A7)) *
    (Entradas!$C$2:$C$100) *
    (Entradas!H$2:H$100)
  ) /
  SUMPRODUCT(
    (MONTH(Entradas!$B$2:$B$100)=MONTH($A7)) *
    (YEAR(Entradas!$B$2:$B$100)=YEAR($A7)) *
    (Entradas!$C$2:$C$100)
  )),
"")</f>
        <v>0</v>
      </c>
      <c r="I7" s="37">
        <f t="array" aca="1" ref="I7" ca="1">IFERROR(
  INDEX(DRE!$J:$J, MATCH($A7, DRE!$A:$A, 0)) * 0.1 *
  (SUMPRODUCT(
    (MONTH(Entradas!$B$2:$B$100)=MONTH($A7)) *
    (YEAR(Entradas!$B$2:$B$100)=YEAR($A7)) *
    (Entradas!$C$2:$C$100) *
    (Entradas!I$2:I$100)
  ) /
  SUMPRODUCT(
    (MONTH(Entradas!$B$2:$B$100)=MONTH($A7)) *
    (YEAR(Entradas!$B$2:$B$100)=YEAR($A7)) *
    (Entradas!$C$2:$C$100)
  )),
"")</f>
        <v>0</v>
      </c>
      <c r="J7" s="37">
        <f t="array" aca="1" ref="J7" ca="1">IFERROR(
  INDEX(DRE!$J:$J, MATCH($A7, DRE!$A:$A, 0)) * 0.1 *
  (SUMPRODUCT(
    (MONTH(Entradas!$B$2:$B$100)=MONTH($A7)) *
    (YEAR(Entradas!$B$2:$B$100)=YEAR($A7)) *
    (Entradas!$C$2:$C$100) *
    (Entradas!J$2:J$100)
  ) /
  SUMPRODUCT(
    (MONTH(Entradas!$B$2:$B$100)=MONTH($A7)) *
    (YEAR(Entradas!$B$2:$B$100)=YEAR($A7)) *
    (Entradas!$C$2:$C$100)
  )),
"")</f>
        <v>0</v>
      </c>
      <c r="K7" s="37">
        <f t="array" aca="1" ref="K7" ca="1">IFERROR(
  INDEX(DRE!$J:$J, MATCH($A7, DRE!$A:$A, 0)) * 0.1 *
  (SUMPRODUCT(
    (MONTH(Entradas!$B$2:$B$100)=MONTH($A7)) *
    (YEAR(Entradas!$B$2:$B$100)=YEAR($A7)) *
    (Entradas!$C$2:$C$100) *
    (Entradas!K$2:K$100)
  ) /
  SUMPRODUCT(
    (MONTH(Entradas!$B$2:$B$100)=MONTH($A7)) *
    (YEAR(Entradas!$B$2:$B$100)=YEAR($A7)) *
    (Entradas!$C$2:$C$100)
  )),
"")</f>
        <v>0</v>
      </c>
      <c r="L7" s="37">
        <f t="array" aca="1" ref="L7" ca="1">IFERROR(
  INDEX(DRE!$J:$J, MATCH($A7, DRE!$A:$A, 0)) * 0.1 *
  (SUMPRODUCT(
    (MONTH(Entradas!$B$2:$B$100)=MONTH($A7)) *
    (YEAR(Entradas!$B$2:$B$100)=YEAR($A7)) *
    (Entradas!$C$2:$C$100) *
    (Entradas!L$2:L$100)
  ) /
  SUMPRODUCT(
    (MONTH(Entradas!$B$2:$B$100)=MONTH($A7)) *
    (YEAR(Entradas!$B$2:$B$100)=YEAR($A7)) *
    (Entradas!$C$2:$C$100)
  )),
"")</f>
        <v>0</v>
      </c>
    </row>
    <row r="8" spans="1:12" ht="14.25" customHeight="1" x14ac:dyDescent="0.3">
      <c r="A8" s="15">
        <v>45839</v>
      </c>
      <c r="B8" s="37">
        <f ca="1">DRE!K8</f>
        <v>26.707627118644066</v>
      </c>
      <c r="C8" s="37">
        <f ca="1">SUM(B2:B8)</f>
        <v>157.52954492686325</v>
      </c>
      <c r="D8" s="37">
        <f t="array" aca="1" ref="D8" ca="1">IFERROR(
  INDEX(DRE!$J:$J, MATCH($A8, DRE!$A:$A, 0)) * 0.1 *
  (SUMPRODUCT(
    (MONTH(Entradas!$B$2:$B$100)=MONTH($A8)) *
    (YEAR(Entradas!$B$2:$B$100)=YEAR($A8)) *
    (Entradas!$C$2:$C$100) *
    (Entradas!$D$2:$D$100)
  ) /
  SUMPRODUCT(
    (MONTH(Entradas!$B$2:$B$100)=MONTH($A8)) *
    (YEAR(Entradas!$B$2:$B$100)=YEAR($A8)) *
    (Entradas!$C$2:$C$100)
  )),
"")</f>
        <v>26.707627118644066</v>
      </c>
      <c r="E8" s="37">
        <f t="array" aca="1" ref="E8" ca="1">IFERROR(
  INDEX(DRE!$J:$J, MATCH($A8, DRE!$A:$A, 0)) * 0.1 *
  (SUMPRODUCT(
    (MONTH(Entradas!$B$2:$B$100)=MONTH($A8)) *
    (YEAR(Entradas!$B$2:$B$100)=YEAR($A8)) *
    (Entradas!$C$2:$C$100) *
    (Entradas!E$2:E$100)
  ) /
  SUMPRODUCT(
    (MONTH(Entradas!$B$2:$B$100)=MONTH($A8)) *
    (YEAR(Entradas!$B$2:$B$100)=YEAR($A8)) *
    (Entradas!$C$2:$C$100)
  )),
"")</f>
        <v>0</v>
      </c>
      <c r="F8" s="37">
        <f t="array" aca="1" ref="F8" ca="1">IFERROR(
  INDEX(DRE!$J:$J, MATCH($A8, DRE!$A:$A, 0)) * 0.1 *
  (SUMPRODUCT(
    (MONTH(Entradas!$B$2:$B$100)=MONTH($A8)) *
    (YEAR(Entradas!$B$2:$B$100)=YEAR($A8)) *
    (Entradas!$C$2:$C$100) *
    (Entradas!F$2:F$100)
  ) /
  SUMPRODUCT(
    (MONTH(Entradas!$B$2:$B$100)=MONTH($A8)) *
    (YEAR(Entradas!$B$2:$B$100)=YEAR($A8)) *
    (Entradas!$C$2:$C$100)
  )),
"")</f>
        <v>0</v>
      </c>
      <c r="G8" s="37">
        <f t="array" aca="1" ref="G8" ca="1">IFERROR(
  INDEX(DRE!$J:$J, MATCH($A8, DRE!$A:$A, 0)) * 0.1 *
  (SUMPRODUCT(
    (MONTH(Entradas!$B$2:$B$100)=MONTH($A8)) *
    (YEAR(Entradas!$B$2:$B$100)=YEAR($A8)) *
    (Entradas!$C$2:$C$100) *
    (Entradas!G$2:G$100)
  ) /
  SUMPRODUCT(
    (MONTH(Entradas!$B$2:$B$100)=MONTH($A8)) *
    (YEAR(Entradas!$B$2:$B$100)=YEAR($A8)) *
    (Entradas!$C$2:$C$100)
  )),
"")</f>
        <v>0</v>
      </c>
      <c r="H8" s="37">
        <f t="array" aca="1" ref="H8" ca="1">IFERROR(
  INDEX(DRE!$J:$J, MATCH($A8, DRE!$A:$A, 0)) * 0.1 *
  (SUMPRODUCT(
    (MONTH(Entradas!$B$2:$B$100)=MONTH($A8)) *
    (YEAR(Entradas!$B$2:$B$100)=YEAR($A8)) *
    (Entradas!$C$2:$C$100) *
    (Entradas!H$2:H$100)
  ) /
  SUMPRODUCT(
    (MONTH(Entradas!$B$2:$B$100)=MONTH($A8)) *
    (YEAR(Entradas!$B$2:$B$100)=YEAR($A8)) *
    (Entradas!$C$2:$C$100)
  )),
"")</f>
        <v>0</v>
      </c>
      <c r="I8" s="37">
        <f t="array" aca="1" ref="I8" ca="1">IFERROR(
  INDEX(DRE!$J:$J, MATCH($A8, DRE!$A:$A, 0)) * 0.1 *
  (SUMPRODUCT(
    (MONTH(Entradas!$B$2:$B$100)=MONTH($A8)) *
    (YEAR(Entradas!$B$2:$B$100)=YEAR($A8)) *
    (Entradas!$C$2:$C$100) *
    (Entradas!I$2:I$100)
  ) /
  SUMPRODUCT(
    (MONTH(Entradas!$B$2:$B$100)=MONTH($A8)) *
    (YEAR(Entradas!$B$2:$B$100)=YEAR($A8)) *
    (Entradas!$C$2:$C$100)
  )),
"")</f>
        <v>0</v>
      </c>
      <c r="J8" s="37">
        <f t="array" aca="1" ref="J8" ca="1">IFERROR(
  INDEX(DRE!$J:$J, MATCH($A8, DRE!$A:$A, 0)) * 0.1 *
  (SUMPRODUCT(
    (MONTH(Entradas!$B$2:$B$100)=MONTH($A8)) *
    (YEAR(Entradas!$B$2:$B$100)=YEAR($A8)) *
    (Entradas!$C$2:$C$100) *
    (Entradas!J$2:J$100)
  ) /
  SUMPRODUCT(
    (MONTH(Entradas!$B$2:$B$100)=MONTH($A8)) *
    (YEAR(Entradas!$B$2:$B$100)=YEAR($A8)) *
    (Entradas!$C$2:$C$100)
  )),
"")</f>
        <v>0</v>
      </c>
      <c r="K8" s="37">
        <f t="array" aca="1" ref="K8" ca="1">IFERROR(
  INDEX(DRE!$J:$J, MATCH($A8, DRE!$A:$A, 0)) * 0.1 *
  (SUMPRODUCT(
    (MONTH(Entradas!$B$2:$B$100)=MONTH($A8)) *
    (YEAR(Entradas!$B$2:$B$100)=YEAR($A8)) *
    (Entradas!$C$2:$C$100) *
    (Entradas!K$2:K$100)
  ) /
  SUMPRODUCT(
    (MONTH(Entradas!$B$2:$B$100)=MONTH($A8)) *
    (YEAR(Entradas!$B$2:$B$100)=YEAR($A8)) *
    (Entradas!$C$2:$C$100)
  )),
"")</f>
        <v>0</v>
      </c>
      <c r="L8" s="37">
        <f t="array" aca="1" ref="L8" ca="1">IFERROR(
  INDEX(DRE!$J:$J, MATCH($A8, DRE!$A:$A, 0)) * 0.1 *
  (SUMPRODUCT(
    (MONTH(Entradas!$B$2:$B$100)=MONTH($A8)) *
    (YEAR(Entradas!$B$2:$B$100)=YEAR($A8)) *
    (Entradas!$C$2:$C$100) *
    (Entradas!L$2:L$100)
  ) /
  SUMPRODUCT(
    (MONTH(Entradas!$B$2:$B$100)=MONTH($A8)) *
    (YEAR(Entradas!$B$2:$B$100)=YEAR($A8)) *
    (Entradas!$C$2:$C$100)
  )),
"")</f>
        <v>0</v>
      </c>
    </row>
    <row r="9" spans="1:12" ht="14.25" customHeight="1" x14ac:dyDescent="0.3">
      <c r="A9" s="15">
        <v>45870</v>
      </c>
      <c r="B9" s="37">
        <f ca="1">DRE!K9</f>
        <v>26.707627118644066</v>
      </c>
      <c r="C9" s="37">
        <f ca="1">SUM(B2:B9)</f>
        <v>184.23717204550732</v>
      </c>
      <c r="D9" s="37">
        <f t="array" aca="1" ref="D9" ca="1">IFERROR(
  INDEX(DRE!$J:$J, MATCH($A9, DRE!$A:$A, 0)) * 0.1 *
  (SUMPRODUCT(
    (MONTH(Entradas!$B$2:$B$100)=MONTH($A9)) *
    (YEAR(Entradas!$B$2:$B$100)=YEAR($A9)) *
    (Entradas!$C$2:$C$100) *
    (Entradas!$D$2:$D$100)
  ) /
  SUMPRODUCT(
    (MONTH(Entradas!$B$2:$B$100)=MONTH($A9)) *
    (YEAR(Entradas!$B$2:$B$100)=YEAR($A9)) *
    (Entradas!$C$2:$C$100)
  )),
"")</f>
        <v>26.707627118644066</v>
      </c>
      <c r="E9" s="37">
        <f t="array" aca="1" ref="E9" ca="1">IFERROR(
  INDEX(DRE!$J:$J, MATCH($A9, DRE!$A:$A, 0)) * 0.1 *
  (SUMPRODUCT(
    (MONTH(Entradas!$B$2:$B$100)=MONTH($A9)) *
    (YEAR(Entradas!$B$2:$B$100)=YEAR($A9)) *
    (Entradas!$C$2:$C$100) *
    (Entradas!E$2:E$100)
  ) /
  SUMPRODUCT(
    (MONTH(Entradas!$B$2:$B$100)=MONTH($A9)) *
    (YEAR(Entradas!$B$2:$B$100)=YEAR($A9)) *
    (Entradas!$C$2:$C$100)
  )),
"")</f>
        <v>0</v>
      </c>
      <c r="F9" s="37">
        <f t="array" aca="1" ref="F9" ca="1">IFERROR(
  INDEX(DRE!$J:$J, MATCH($A9, DRE!$A:$A, 0)) * 0.1 *
  (SUMPRODUCT(
    (MONTH(Entradas!$B$2:$B$100)=MONTH($A9)) *
    (YEAR(Entradas!$B$2:$B$100)=YEAR($A9)) *
    (Entradas!$C$2:$C$100) *
    (Entradas!F$2:F$100)
  ) /
  SUMPRODUCT(
    (MONTH(Entradas!$B$2:$B$100)=MONTH($A9)) *
    (YEAR(Entradas!$B$2:$B$100)=YEAR($A9)) *
    (Entradas!$C$2:$C$100)
  )),
"")</f>
        <v>0</v>
      </c>
      <c r="G9" s="37">
        <f t="array" aca="1" ref="G9" ca="1">IFERROR(
  INDEX(DRE!$J:$J, MATCH($A9, DRE!$A:$A, 0)) * 0.1 *
  (SUMPRODUCT(
    (MONTH(Entradas!$B$2:$B$100)=MONTH($A9)) *
    (YEAR(Entradas!$B$2:$B$100)=YEAR($A9)) *
    (Entradas!$C$2:$C$100) *
    (Entradas!G$2:G$100)
  ) /
  SUMPRODUCT(
    (MONTH(Entradas!$B$2:$B$100)=MONTH($A9)) *
    (YEAR(Entradas!$B$2:$B$100)=YEAR($A9)) *
    (Entradas!$C$2:$C$100)
  )),
"")</f>
        <v>0</v>
      </c>
      <c r="H9" s="37">
        <f t="array" aca="1" ref="H9" ca="1">IFERROR(
  INDEX(DRE!$J:$J, MATCH($A9, DRE!$A:$A, 0)) * 0.1 *
  (SUMPRODUCT(
    (MONTH(Entradas!$B$2:$B$100)=MONTH($A9)) *
    (YEAR(Entradas!$B$2:$B$100)=YEAR($A9)) *
    (Entradas!$C$2:$C$100) *
    (Entradas!H$2:H$100)
  ) /
  SUMPRODUCT(
    (MONTH(Entradas!$B$2:$B$100)=MONTH($A9)) *
    (YEAR(Entradas!$B$2:$B$100)=YEAR($A9)) *
    (Entradas!$C$2:$C$100)
  )),
"")</f>
        <v>0</v>
      </c>
      <c r="I9" s="37">
        <f t="array" aca="1" ref="I9" ca="1">IFERROR(
  INDEX(DRE!$J:$J, MATCH($A9, DRE!$A:$A, 0)) * 0.1 *
  (SUMPRODUCT(
    (MONTH(Entradas!$B$2:$B$100)=MONTH($A9)) *
    (YEAR(Entradas!$B$2:$B$100)=YEAR($A9)) *
    (Entradas!$C$2:$C$100) *
    (Entradas!I$2:I$100)
  ) /
  SUMPRODUCT(
    (MONTH(Entradas!$B$2:$B$100)=MONTH($A9)) *
    (YEAR(Entradas!$B$2:$B$100)=YEAR($A9)) *
    (Entradas!$C$2:$C$100)
  )),
"")</f>
        <v>0</v>
      </c>
      <c r="J9" s="37">
        <f t="array" aca="1" ref="J9" ca="1">IFERROR(
  INDEX(DRE!$J:$J, MATCH($A9, DRE!$A:$A, 0)) * 0.1 *
  (SUMPRODUCT(
    (MONTH(Entradas!$B$2:$B$100)=MONTH($A9)) *
    (YEAR(Entradas!$B$2:$B$100)=YEAR($A9)) *
    (Entradas!$C$2:$C$100) *
    (Entradas!J$2:J$100)
  ) /
  SUMPRODUCT(
    (MONTH(Entradas!$B$2:$B$100)=MONTH($A9)) *
    (YEAR(Entradas!$B$2:$B$100)=YEAR($A9)) *
    (Entradas!$C$2:$C$100)
  )),
"")</f>
        <v>0</v>
      </c>
      <c r="K9" s="37">
        <f t="array" aca="1" ref="K9" ca="1">IFERROR(
  INDEX(DRE!$J:$J, MATCH($A9, DRE!$A:$A, 0)) * 0.1 *
  (SUMPRODUCT(
    (MONTH(Entradas!$B$2:$B$100)=MONTH($A9)) *
    (YEAR(Entradas!$B$2:$B$100)=YEAR($A9)) *
    (Entradas!$C$2:$C$100) *
    (Entradas!K$2:K$100)
  ) /
  SUMPRODUCT(
    (MONTH(Entradas!$B$2:$B$100)=MONTH($A9)) *
    (YEAR(Entradas!$B$2:$B$100)=YEAR($A9)) *
    (Entradas!$C$2:$C$100)
  )),
"")</f>
        <v>0</v>
      </c>
      <c r="L9" s="37">
        <f t="array" aca="1" ref="L9" ca="1">IFERROR(
  INDEX(DRE!$J:$J, MATCH($A9, DRE!$A:$A, 0)) * 0.1 *
  (SUMPRODUCT(
    (MONTH(Entradas!$B$2:$B$100)=MONTH($A9)) *
    (YEAR(Entradas!$B$2:$B$100)=YEAR($A9)) *
    (Entradas!$C$2:$C$100) *
    (Entradas!L$2:L$100)
  ) /
  SUMPRODUCT(
    (MONTH(Entradas!$B$2:$B$100)=MONTH($A9)) *
    (YEAR(Entradas!$B$2:$B$100)=YEAR($A9)) *
    (Entradas!$C$2:$C$100)
  )),
"")</f>
        <v>0</v>
      </c>
    </row>
    <row r="10" spans="1:12" ht="14.25" customHeight="1" x14ac:dyDescent="0.3">
      <c r="A10" s="15">
        <v>45901</v>
      </c>
      <c r="B10" s="37">
        <f ca="1">DRE!K10</f>
        <v>0</v>
      </c>
      <c r="C10" s="37">
        <f ca="1">SUM(B2:B10)</f>
        <v>184.23717204550732</v>
      </c>
      <c r="D10" s="37" t="str">
        <f t="array" aca="1" ref="D10" ca="1">IFERROR(
  INDEX(DRE!$J:$J, MATCH($A10, DRE!$A:$A, 0)) * 0.1 *
  (SUMPRODUCT(
    (MONTH(Entradas!$B$2:$B$100)=MONTH($A10)) *
    (YEAR(Entradas!$B$2:$B$100)=YEAR($A10)) *
    (Entradas!$C$2:$C$100) *
    (Entradas!$D$2:$D$100)
  ) /
  SUMPRODUCT(
    (MONTH(Entradas!$B$2:$B$100)=MONTH($A10)) *
    (YEAR(Entradas!$B$2:$B$100)=YEAR($A10)) *
    (Entradas!$C$2:$C$100)
  )),
"")</f>
        <v/>
      </c>
      <c r="E10" s="37" t="str">
        <f t="array" aca="1" ref="E10" ca="1">IFERROR(
  INDEX(DRE!$J:$J, MATCH($A10, DRE!$A:$A, 0)) * 0.1 *
  (SUMPRODUCT(
    (MONTH(Entradas!$B$2:$B$100)=MONTH($A10)) *
    (YEAR(Entradas!$B$2:$B$100)=YEAR($A10)) *
    (Entradas!$C$2:$C$100) *
    (Entradas!E$2:E$100)
  ) /
  SUMPRODUCT(
    (MONTH(Entradas!$B$2:$B$100)=MONTH($A10)) *
    (YEAR(Entradas!$B$2:$B$100)=YEAR($A10)) *
    (Entradas!$C$2:$C$100)
  )),
"")</f>
        <v/>
      </c>
      <c r="F10" s="37" t="str">
        <f t="array" aca="1" ref="F10" ca="1">IFERROR(
  INDEX(DRE!$J:$J, MATCH($A10, DRE!$A:$A, 0)) * 0.1 *
  (SUMPRODUCT(
    (MONTH(Entradas!$B$2:$B$100)=MONTH($A10)) *
    (YEAR(Entradas!$B$2:$B$100)=YEAR($A10)) *
    (Entradas!$C$2:$C$100) *
    (Entradas!F$2:F$100)
  ) /
  SUMPRODUCT(
    (MONTH(Entradas!$B$2:$B$100)=MONTH($A10)) *
    (YEAR(Entradas!$B$2:$B$100)=YEAR($A10)) *
    (Entradas!$C$2:$C$100)
  )),
"")</f>
        <v/>
      </c>
      <c r="G10" s="37" t="str">
        <f t="array" aca="1" ref="G10" ca="1">IFERROR(
  INDEX(DRE!$J:$J, MATCH($A10, DRE!$A:$A, 0)) * 0.1 *
  (SUMPRODUCT(
    (MONTH(Entradas!$B$2:$B$100)=MONTH($A10)) *
    (YEAR(Entradas!$B$2:$B$100)=YEAR($A10)) *
    (Entradas!$C$2:$C$100) *
    (Entradas!G$2:G$100)
  ) /
  SUMPRODUCT(
    (MONTH(Entradas!$B$2:$B$100)=MONTH($A10)) *
    (YEAR(Entradas!$B$2:$B$100)=YEAR($A10)) *
    (Entradas!$C$2:$C$100)
  )),
"")</f>
        <v/>
      </c>
      <c r="H10" s="37" t="str">
        <f t="array" aca="1" ref="H10" ca="1">IFERROR(
  INDEX(DRE!$J:$J, MATCH($A10, DRE!$A:$A, 0)) * 0.1 *
  (SUMPRODUCT(
    (MONTH(Entradas!$B$2:$B$100)=MONTH($A10)) *
    (YEAR(Entradas!$B$2:$B$100)=YEAR($A10)) *
    (Entradas!$C$2:$C$100) *
    (Entradas!H$2:H$100)
  ) /
  SUMPRODUCT(
    (MONTH(Entradas!$B$2:$B$100)=MONTH($A10)) *
    (YEAR(Entradas!$B$2:$B$100)=YEAR($A10)) *
    (Entradas!$C$2:$C$100)
  )),
"")</f>
        <v/>
      </c>
      <c r="I10" s="37" t="str">
        <f t="array" aca="1" ref="I10" ca="1">IFERROR(
  INDEX(DRE!$J:$J, MATCH($A10, DRE!$A:$A, 0)) * 0.1 *
  (SUMPRODUCT(
    (MONTH(Entradas!$B$2:$B$100)=MONTH($A10)) *
    (YEAR(Entradas!$B$2:$B$100)=YEAR($A10)) *
    (Entradas!$C$2:$C$100) *
    (Entradas!I$2:I$100)
  ) /
  SUMPRODUCT(
    (MONTH(Entradas!$B$2:$B$100)=MONTH($A10)) *
    (YEAR(Entradas!$B$2:$B$100)=YEAR($A10)) *
    (Entradas!$C$2:$C$100)
  )),
"")</f>
        <v/>
      </c>
      <c r="J10" s="37" t="str">
        <f t="array" aca="1" ref="J10" ca="1">IFERROR(
  INDEX(DRE!$J:$J, MATCH($A10, DRE!$A:$A, 0)) * 0.1 *
  (SUMPRODUCT(
    (MONTH(Entradas!$B$2:$B$100)=MONTH($A10)) *
    (YEAR(Entradas!$B$2:$B$100)=YEAR($A10)) *
    (Entradas!$C$2:$C$100) *
    (Entradas!J$2:J$100)
  ) /
  SUMPRODUCT(
    (MONTH(Entradas!$B$2:$B$100)=MONTH($A10)) *
    (YEAR(Entradas!$B$2:$B$100)=YEAR($A10)) *
    (Entradas!$C$2:$C$100)
  )),
"")</f>
        <v/>
      </c>
      <c r="K10" s="37" t="str">
        <f t="array" aca="1" ref="K10" ca="1">IFERROR(
  INDEX(DRE!$J:$J, MATCH($A10, DRE!$A:$A, 0)) * 0.1 *
  (SUMPRODUCT(
    (MONTH(Entradas!$B$2:$B$100)=MONTH($A10)) *
    (YEAR(Entradas!$B$2:$B$100)=YEAR($A10)) *
    (Entradas!$C$2:$C$100) *
    (Entradas!K$2:K$100)
  ) /
  SUMPRODUCT(
    (MONTH(Entradas!$B$2:$B$100)=MONTH($A10)) *
    (YEAR(Entradas!$B$2:$B$100)=YEAR($A10)) *
    (Entradas!$C$2:$C$100)
  )),
"")</f>
        <v/>
      </c>
      <c r="L10" s="37" t="str">
        <f t="array" aca="1" ref="L10" ca="1">IFERROR(
  INDEX(DRE!$J:$J, MATCH($A10, DRE!$A:$A, 0)) * 0.1 *
  (SUMPRODUCT(
    (MONTH(Entradas!$B$2:$B$100)=MONTH($A10)) *
    (YEAR(Entradas!$B$2:$B$100)=YEAR($A10)) *
    (Entradas!$C$2:$C$100) *
    (Entradas!L$2:L$100)
  ) /
  SUMPRODUCT(
    (MONTH(Entradas!$B$2:$B$100)=MONTH($A10)) *
    (YEAR(Entradas!$B$2:$B$100)=YEAR($A10)) *
    (Entradas!$C$2:$C$100)
  )),
"")</f>
        <v/>
      </c>
    </row>
    <row r="11" spans="1:12" ht="14.25" customHeight="1" x14ac:dyDescent="0.3">
      <c r="A11" s="15">
        <v>45931</v>
      </c>
      <c r="B11" s="37">
        <f ca="1">DRE!K11</f>
        <v>0</v>
      </c>
      <c r="C11" s="37">
        <f ca="1">SUM(B2:B11)</f>
        <v>184.23717204550732</v>
      </c>
      <c r="D11" s="37" t="str">
        <f t="array" aca="1" ref="D11" ca="1">IFERROR(
  INDEX(DRE!$J:$J, MATCH($A11, DRE!$A:$A, 0)) * 0.1 *
  (SUMPRODUCT(
    (MONTH(Entradas!$B$2:$B$100)=MONTH($A11)) *
    (YEAR(Entradas!$B$2:$B$100)=YEAR($A11)) *
    (Entradas!$C$2:$C$100) *
    (Entradas!$D$2:$D$100)
  ) /
  SUMPRODUCT(
    (MONTH(Entradas!$B$2:$B$100)=MONTH($A11)) *
    (YEAR(Entradas!$B$2:$B$100)=YEAR($A11)) *
    (Entradas!$C$2:$C$100)
  )),
"")</f>
        <v/>
      </c>
      <c r="E11" s="37" t="str">
        <f t="array" aca="1" ref="E11" ca="1">IFERROR(
  INDEX(DRE!$J:$J, MATCH($A11, DRE!$A:$A, 0)) * 0.1 *
  (SUMPRODUCT(
    (MONTH(Entradas!$B$2:$B$100)=MONTH($A11)) *
    (YEAR(Entradas!$B$2:$B$100)=YEAR($A11)) *
    (Entradas!$C$2:$C$100) *
    (Entradas!E$2:E$100)
  ) /
  SUMPRODUCT(
    (MONTH(Entradas!$B$2:$B$100)=MONTH($A11)) *
    (YEAR(Entradas!$B$2:$B$100)=YEAR($A11)) *
    (Entradas!$C$2:$C$100)
  )),
"")</f>
        <v/>
      </c>
      <c r="F11" s="37" t="str">
        <f t="array" aca="1" ref="F11" ca="1">IFERROR(
  INDEX(DRE!$J:$J, MATCH($A11, DRE!$A:$A, 0)) * 0.1 *
  (SUMPRODUCT(
    (MONTH(Entradas!$B$2:$B$100)=MONTH($A11)) *
    (YEAR(Entradas!$B$2:$B$100)=YEAR($A11)) *
    (Entradas!$C$2:$C$100) *
    (Entradas!F$2:F$100)
  ) /
  SUMPRODUCT(
    (MONTH(Entradas!$B$2:$B$100)=MONTH($A11)) *
    (YEAR(Entradas!$B$2:$B$100)=YEAR($A11)) *
    (Entradas!$C$2:$C$100)
  )),
"")</f>
        <v/>
      </c>
      <c r="G11" s="37" t="str">
        <f t="array" aca="1" ref="G11" ca="1">IFERROR(
  INDEX(DRE!$J:$J, MATCH($A11, DRE!$A:$A, 0)) * 0.1 *
  (SUMPRODUCT(
    (MONTH(Entradas!$B$2:$B$100)=MONTH($A11)) *
    (YEAR(Entradas!$B$2:$B$100)=YEAR($A11)) *
    (Entradas!$C$2:$C$100) *
    (Entradas!G$2:G$100)
  ) /
  SUMPRODUCT(
    (MONTH(Entradas!$B$2:$B$100)=MONTH($A11)) *
    (YEAR(Entradas!$B$2:$B$100)=YEAR($A11)) *
    (Entradas!$C$2:$C$100)
  )),
"")</f>
        <v/>
      </c>
      <c r="H11" s="37" t="str">
        <f t="array" aca="1" ref="H11" ca="1">IFERROR(
  INDEX(DRE!$J:$J, MATCH($A11, DRE!$A:$A, 0)) * 0.1 *
  (SUMPRODUCT(
    (MONTH(Entradas!$B$2:$B$100)=MONTH($A11)) *
    (YEAR(Entradas!$B$2:$B$100)=YEAR($A11)) *
    (Entradas!$C$2:$C$100) *
    (Entradas!H$2:H$100)
  ) /
  SUMPRODUCT(
    (MONTH(Entradas!$B$2:$B$100)=MONTH($A11)) *
    (YEAR(Entradas!$B$2:$B$100)=YEAR($A11)) *
    (Entradas!$C$2:$C$100)
  )),
"")</f>
        <v/>
      </c>
      <c r="I11" s="37" t="str">
        <f t="array" aca="1" ref="I11" ca="1">IFERROR(
  INDEX(DRE!$J:$J, MATCH($A11, DRE!$A:$A, 0)) * 0.1 *
  (SUMPRODUCT(
    (MONTH(Entradas!$B$2:$B$100)=MONTH($A11)) *
    (YEAR(Entradas!$B$2:$B$100)=YEAR($A11)) *
    (Entradas!$C$2:$C$100) *
    (Entradas!I$2:I$100)
  ) /
  SUMPRODUCT(
    (MONTH(Entradas!$B$2:$B$100)=MONTH($A11)) *
    (YEAR(Entradas!$B$2:$B$100)=YEAR($A11)) *
    (Entradas!$C$2:$C$100)
  )),
"")</f>
        <v/>
      </c>
      <c r="J11" s="37" t="str">
        <f t="array" aca="1" ref="J11" ca="1">IFERROR(
  INDEX(DRE!$J:$J, MATCH($A11, DRE!$A:$A, 0)) * 0.1 *
  (SUMPRODUCT(
    (MONTH(Entradas!$B$2:$B$100)=MONTH($A11)) *
    (YEAR(Entradas!$B$2:$B$100)=YEAR($A11)) *
    (Entradas!$C$2:$C$100) *
    (Entradas!J$2:J$100)
  ) /
  SUMPRODUCT(
    (MONTH(Entradas!$B$2:$B$100)=MONTH($A11)) *
    (YEAR(Entradas!$B$2:$B$100)=YEAR($A11)) *
    (Entradas!$C$2:$C$100)
  )),
"")</f>
        <v/>
      </c>
      <c r="K11" s="37" t="str">
        <f t="array" aca="1" ref="K11" ca="1">IFERROR(
  INDEX(DRE!$J:$J, MATCH($A11, DRE!$A:$A, 0)) * 0.1 *
  (SUMPRODUCT(
    (MONTH(Entradas!$B$2:$B$100)=MONTH($A11)) *
    (YEAR(Entradas!$B$2:$B$100)=YEAR($A11)) *
    (Entradas!$C$2:$C$100) *
    (Entradas!K$2:K$100)
  ) /
  SUMPRODUCT(
    (MONTH(Entradas!$B$2:$B$100)=MONTH($A11)) *
    (YEAR(Entradas!$B$2:$B$100)=YEAR($A11)) *
    (Entradas!$C$2:$C$100)
  )),
"")</f>
        <v/>
      </c>
      <c r="L11" s="37" t="str">
        <f t="array" aca="1" ref="L11" ca="1">IFERROR(
  INDEX(DRE!$J:$J, MATCH($A11, DRE!$A:$A, 0)) * 0.1 *
  (SUMPRODUCT(
    (MONTH(Entradas!$B$2:$B$100)=MONTH($A11)) *
    (YEAR(Entradas!$B$2:$B$100)=YEAR($A11)) *
    (Entradas!$C$2:$C$100) *
    (Entradas!L$2:L$100)
  ) /
  SUMPRODUCT(
    (MONTH(Entradas!$B$2:$B$100)=MONTH($A11)) *
    (YEAR(Entradas!$B$2:$B$100)=YEAR($A11)) *
    (Entradas!$C$2:$C$100)
  )),
"")</f>
        <v/>
      </c>
    </row>
    <row r="12" spans="1:12" ht="14.25" customHeight="1" x14ac:dyDescent="0.3">
      <c r="A12" s="15">
        <v>45962</v>
      </c>
      <c r="B12" s="37">
        <f ca="1">DRE!K12</f>
        <v>146.77092557294873</v>
      </c>
      <c r="C12" s="37">
        <f ca="1">SUM(B2:B12)</f>
        <v>331.00809761845608</v>
      </c>
      <c r="D12" s="37">
        <f t="array" aca="1" ref="D12" ca="1">IFERROR(
  INDEX(DRE!$J:$J, MATCH($A12, DRE!$A:$A, 0)) * 0.1 *
  (SUMPRODUCT(
    (MONTH(Entradas!$B$2:$B$100)=MONTH($A12)) *
    (YEAR(Entradas!$B$2:$B$100)=YEAR($A12)) *
    (Entradas!$C$2:$C$100) *
    (Entradas!$D$2:$D$100)
  ) /
  SUMPRODUCT(
    (MONTH(Entradas!$B$2:$B$100)=MONTH($A12)) *
    (YEAR(Entradas!$B$2:$B$100)=YEAR($A12)) *
    (Entradas!$C$2:$C$100)
  )),
"")</f>
        <v>26.831559831304688</v>
      </c>
      <c r="E12" s="37">
        <f t="array" aca="1" ref="E12" ca="1">IFERROR(
  INDEX(DRE!$J:$J, MATCH($A12, DRE!$A:$A, 0)) * 0.1 *
  (SUMPRODUCT(
    (MONTH(Entradas!$B$2:$B$100)=MONTH($A12)) *
    (YEAR(Entradas!$B$2:$B$100)=YEAR($A12)) *
    (Entradas!$C$2:$C$100) *
    (Entradas!E$2:E$100)
  ) /
  SUMPRODUCT(
    (MONTH(Entradas!$B$2:$B$100)=MONTH($A12)) *
    (YEAR(Entradas!$B$2:$B$100)=YEAR($A12)) *
    (Entradas!$C$2:$C$100)
  )),
"")</f>
        <v>119.93936574164402</v>
      </c>
      <c r="F12" s="37">
        <f t="array" aca="1" ref="F12" ca="1">IFERROR(
  INDEX(DRE!$J:$J, MATCH($A12, DRE!$A:$A, 0)) * 0.1 *
  (SUMPRODUCT(
    (MONTH(Entradas!$B$2:$B$100)=MONTH($A12)) *
    (YEAR(Entradas!$B$2:$B$100)=YEAR($A12)) *
    (Entradas!$C$2:$C$100) *
    (Entradas!F$2:F$100)
  ) /
  SUMPRODUCT(
    (MONTH(Entradas!$B$2:$B$100)=MONTH($A12)) *
    (YEAR(Entradas!$B$2:$B$100)=YEAR($A12)) *
    (Entradas!$C$2:$C$100)
  )),
"")</f>
        <v>0</v>
      </c>
      <c r="G12" s="37">
        <f t="array" aca="1" ref="G12" ca="1">IFERROR(
  INDEX(DRE!$J:$J, MATCH($A12, DRE!$A:$A, 0)) * 0.1 *
  (SUMPRODUCT(
    (MONTH(Entradas!$B$2:$B$100)=MONTH($A12)) *
    (YEAR(Entradas!$B$2:$B$100)=YEAR($A12)) *
    (Entradas!$C$2:$C$100) *
    (Entradas!G$2:G$100)
  ) /
  SUMPRODUCT(
    (MONTH(Entradas!$B$2:$B$100)=MONTH($A12)) *
    (YEAR(Entradas!$B$2:$B$100)=YEAR($A12)) *
    (Entradas!$C$2:$C$100)
  )),
"")</f>
        <v>0</v>
      </c>
      <c r="H12" s="37">
        <f t="array" aca="1" ref="H12" ca="1">IFERROR(
  INDEX(DRE!$J:$J, MATCH($A12, DRE!$A:$A, 0)) * 0.1 *
  (SUMPRODUCT(
    (MONTH(Entradas!$B$2:$B$100)=MONTH($A12)) *
    (YEAR(Entradas!$B$2:$B$100)=YEAR($A12)) *
    (Entradas!$C$2:$C$100) *
    (Entradas!H$2:H$100)
  ) /
  SUMPRODUCT(
    (MONTH(Entradas!$B$2:$B$100)=MONTH($A12)) *
    (YEAR(Entradas!$B$2:$B$100)=YEAR($A12)) *
    (Entradas!$C$2:$C$100)
  )),
"")</f>
        <v>0</v>
      </c>
      <c r="I12" s="37">
        <f t="array" aca="1" ref="I12" ca="1">IFERROR(
  INDEX(DRE!$J:$J, MATCH($A12, DRE!$A:$A, 0)) * 0.1 *
  (SUMPRODUCT(
    (MONTH(Entradas!$B$2:$B$100)=MONTH($A12)) *
    (YEAR(Entradas!$B$2:$B$100)=YEAR($A12)) *
    (Entradas!$C$2:$C$100) *
    (Entradas!I$2:I$100)
  ) /
  SUMPRODUCT(
    (MONTH(Entradas!$B$2:$B$100)=MONTH($A12)) *
    (YEAR(Entradas!$B$2:$B$100)=YEAR($A12)) *
    (Entradas!$C$2:$C$100)
  )),
"")</f>
        <v>0</v>
      </c>
      <c r="J12" s="37">
        <f t="array" aca="1" ref="J12" ca="1">IFERROR(
  INDEX(DRE!$J:$J, MATCH($A12, DRE!$A:$A, 0)) * 0.1 *
  (SUMPRODUCT(
    (MONTH(Entradas!$B$2:$B$100)=MONTH($A12)) *
    (YEAR(Entradas!$B$2:$B$100)=YEAR($A12)) *
    (Entradas!$C$2:$C$100) *
    (Entradas!J$2:J$100)
  ) /
  SUMPRODUCT(
    (MONTH(Entradas!$B$2:$B$100)=MONTH($A12)) *
    (YEAR(Entradas!$B$2:$B$100)=YEAR($A12)) *
    (Entradas!$C$2:$C$100)
  )),
"")</f>
        <v>0</v>
      </c>
      <c r="K12" s="37">
        <f t="array" aca="1" ref="K12" ca="1">IFERROR(
  INDEX(DRE!$J:$J, MATCH($A12, DRE!$A:$A, 0)) * 0.1 *
  (SUMPRODUCT(
    (MONTH(Entradas!$B$2:$B$100)=MONTH($A12)) *
    (YEAR(Entradas!$B$2:$B$100)=YEAR($A12)) *
    (Entradas!$C$2:$C$100) *
    (Entradas!K$2:K$100)
  ) /
  SUMPRODUCT(
    (MONTH(Entradas!$B$2:$B$100)=MONTH($A12)) *
    (YEAR(Entradas!$B$2:$B$100)=YEAR($A12)) *
    (Entradas!$C$2:$C$100)
  )),
"")</f>
        <v>0</v>
      </c>
      <c r="L12" s="37">
        <f t="array" aca="1" ref="L12" ca="1">IFERROR(
  INDEX(DRE!$J:$J, MATCH($A12, DRE!$A:$A, 0)) * 0.1 *
  (SUMPRODUCT(
    (MONTH(Entradas!$B$2:$B$100)=MONTH($A12)) *
    (YEAR(Entradas!$B$2:$B$100)=YEAR($A12)) *
    (Entradas!$C$2:$C$100) *
    (Entradas!L$2:L$100)
  ) /
  SUMPRODUCT(
    (MONTH(Entradas!$B$2:$B$100)=MONTH($A12)) *
    (YEAR(Entradas!$B$2:$B$100)=YEAR($A12)) *
    (Entradas!$C$2:$C$100)
  )),
"")</f>
        <v>0</v>
      </c>
    </row>
    <row r="13" spans="1:12" ht="14.25" customHeight="1" x14ac:dyDescent="0.3">
      <c r="A13" s="15">
        <v>45992</v>
      </c>
      <c r="B13" s="37">
        <f ca="1">DRE!K13</f>
        <v>0</v>
      </c>
      <c r="C13" s="37">
        <f ca="1">SUM(B2:B13)</f>
        <v>331.00809761845608</v>
      </c>
      <c r="D13" s="37" t="str">
        <f t="array" aca="1" ref="D13" ca="1">IFERROR(
  INDEX(DRE!$J:$J, MATCH($A13, DRE!$A:$A, 0)) * 0.1 *
  (SUMPRODUCT(
    (MONTH(Entradas!$B$2:$B$100)=MONTH($A13)) *
    (YEAR(Entradas!$B$2:$B$100)=YEAR($A13)) *
    (Entradas!$C$2:$C$100) *
    (Entradas!$D$2:$D$100)
  ) /
  SUMPRODUCT(
    (MONTH(Entradas!$B$2:$B$100)=MONTH($A13)) *
    (YEAR(Entradas!$B$2:$B$100)=YEAR($A13)) *
    (Entradas!$C$2:$C$100)
  )),
"")</f>
        <v/>
      </c>
      <c r="E13" s="37" t="str">
        <f t="array" aca="1" ref="E13" ca="1">IFERROR(
  INDEX(DRE!$J:$J, MATCH($A13, DRE!$A:$A, 0)) * 0.1 *
  (SUMPRODUCT(
    (MONTH(Entradas!$B$2:$B$100)=MONTH($A13)) *
    (YEAR(Entradas!$B$2:$B$100)=YEAR($A13)) *
    (Entradas!$C$2:$C$100) *
    (Entradas!E$2:E$100)
  ) /
  SUMPRODUCT(
    (MONTH(Entradas!$B$2:$B$100)=MONTH($A13)) *
    (YEAR(Entradas!$B$2:$B$100)=YEAR($A13)) *
    (Entradas!$C$2:$C$100)
  )),
"")</f>
        <v/>
      </c>
      <c r="F13" s="37" t="str">
        <f t="array" aca="1" ref="F13" ca="1">IFERROR(
  INDEX(DRE!$J:$J, MATCH($A13, DRE!$A:$A, 0)) * 0.1 *
  (SUMPRODUCT(
    (MONTH(Entradas!$B$2:$B$100)=MONTH($A13)) *
    (YEAR(Entradas!$B$2:$B$100)=YEAR($A13)) *
    (Entradas!$C$2:$C$100) *
    (Entradas!F$2:F$100)
  ) /
  SUMPRODUCT(
    (MONTH(Entradas!$B$2:$B$100)=MONTH($A13)) *
    (YEAR(Entradas!$B$2:$B$100)=YEAR($A13)) *
    (Entradas!$C$2:$C$100)
  )),
"")</f>
        <v/>
      </c>
      <c r="G13" s="37" t="str">
        <f t="array" aca="1" ref="G13" ca="1">IFERROR(
  INDEX(DRE!$J:$J, MATCH($A13, DRE!$A:$A, 0)) * 0.1 *
  (SUMPRODUCT(
    (MONTH(Entradas!$B$2:$B$100)=MONTH($A13)) *
    (YEAR(Entradas!$B$2:$B$100)=YEAR($A13)) *
    (Entradas!$C$2:$C$100) *
    (Entradas!G$2:G$100)
  ) /
  SUMPRODUCT(
    (MONTH(Entradas!$B$2:$B$100)=MONTH($A13)) *
    (YEAR(Entradas!$B$2:$B$100)=YEAR($A13)) *
    (Entradas!$C$2:$C$100)
  )),
"")</f>
        <v/>
      </c>
      <c r="H13" s="37" t="str">
        <f t="array" aca="1" ref="H13" ca="1">IFERROR(
  INDEX(DRE!$J:$J, MATCH($A13, DRE!$A:$A, 0)) * 0.1 *
  (SUMPRODUCT(
    (MONTH(Entradas!$B$2:$B$100)=MONTH($A13)) *
    (YEAR(Entradas!$B$2:$B$100)=YEAR($A13)) *
    (Entradas!$C$2:$C$100) *
    (Entradas!H$2:H$100)
  ) /
  SUMPRODUCT(
    (MONTH(Entradas!$B$2:$B$100)=MONTH($A13)) *
    (YEAR(Entradas!$B$2:$B$100)=YEAR($A13)) *
    (Entradas!$C$2:$C$100)
  )),
"")</f>
        <v/>
      </c>
      <c r="I13" s="37" t="str">
        <f t="array" aca="1" ref="I13" ca="1">IFERROR(
  INDEX(DRE!$J:$J, MATCH($A13, DRE!$A:$A, 0)) * 0.1 *
  (SUMPRODUCT(
    (MONTH(Entradas!$B$2:$B$100)=MONTH($A13)) *
    (YEAR(Entradas!$B$2:$B$100)=YEAR($A13)) *
    (Entradas!$C$2:$C$100) *
    (Entradas!I$2:I$100)
  ) /
  SUMPRODUCT(
    (MONTH(Entradas!$B$2:$B$100)=MONTH($A13)) *
    (YEAR(Entradas!$B$2:$B$100)=YEAR($A13)) *
    (Entradas!$C$2:$C$100)
  )),
"")</f>
        <v/>
      </c>
      <c r="J13" s="37" t="str">
        <f t="array" aca="1" ref="J13" ca="1">IFERROR(
  INDEX(DRE!$J:$J, MATCH($A13, DRE!$A:$A, 0)) * 0.1 *
  (SUMPRODUCT(
    (MONTH(Entradas!$B$2:$B$100)=MONTH($A13)) *
    (YEAR(Entradas!$B$2:$B$100)=YEAR($A13)) *
    (Entradas!$C$2:$C$100) *
    (Entradas!J$2:J$100)
  ) /
  SUMPRODUCT(
    (MONTH(Entradas!$B$2:$B$100)=MONTH($A13)) *
    (YEAR(Entradas!$B$2:$B$100)=YEAR($A13)) *
    (Entradas!$C$2:$C$100)
  )),
"")</f>
        <v/>
      </c>
      <c r="K13" s="37" t="str">
        <f t="array" aca="1" ref="K13" ca="1">IFERROR(
  INDEX(DRE!$J:$J, MATCH($A13, DRE!$A:$A, 0)) * 0.1 *
  (SUMPRODUCT(
    (MONTH(Entradas!$B$2:$B$100)=MONTH($A13)) *
    (YEAR(Entradas!$B$2:$B$100)=YEAR($A13)) *
    (Entradas!$C$2:$C$100) *
    (Entradas!K$2:K$100)
  ) /
  SUMPRODUCT(
    (MONTH(Entradas!$B$2:$B$100)=MONTH($A13)) *
    (YEAR(Entradas!$B$2:$B$100)=YEAR($A13)) *
    (Entradas!$C$2:$C$100)
  )),
"")</f>
        <v/>
      </c>
      <c r="L13" s="37" t="str">
        <f t="array" aca="1" ref="L13" ca="1">IFERROR(
  INDEX(DRE!$J:$J, MATCH($A13, DRE!$A:$A, 0)) * 0.1 *
  (SUMPRODUCT(
    (MONTH(Entradas!$B$2:$B$100)=MONTH($A13)) *
    (YEAR(Entradas!$B$2:$B$100)=YEAR($A13)) *
    (Entradas!$C$2:$C$100) *
    (Entradas!L$2:L$100)
  ) /
  SUMPRODUCT(
    (MONTH(Entradas!$B$2:$B$100)=MONTH($A13)) *
    (YEAR(Entradas!$B$2:$B$100)=YEAR($A13)) *
    (Entradas!$C$2:$C$100)
  )),
"")</f>
        <v/>
      </c>
    </row>
    <row r="14" spans="1:12" ht="14.25" customHeight="1" x14ac:dyDescent="0.3">
      <c r="A14" s="5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</row>
    <row r="15" spans="1:12" ht="14.25" customHeight="1" x14ac:dyDescent="0.3">
      <c r="A15" s="5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spans="1:12" ht="14.25" customHeight="1" x14ac:dyDescent="0.3">
      <c r="A16" s="44" t="s">
        <v>30</v>
      </c>
      <c r="B16" s="44"/>
      <c r="C16" s="45">
        <f ca="1">SUM(B2:B16)</f>
        <v>331.00809761845608</v>
      </c>
      <c r="D16" s="45">
        <f t="shared" ref="D16:L16" ca="1" si="0">SUM(D2:D13)</f>
        <v>145.65777297270242</v>
      </c>
      <c r="E16" s="45">
        <f t="shared" ca="1" si="0"/>
        <v>185.35032464575363</v>
      </c>
      <c r="F16" s="45">
        <f t="shared" ca="1" si="0"/>
        <v>0</v>
      </c>
      <c r="G16" s="45">
        <f t="shared" ca="1" si="0"/>
        <v>0</v>
      </c>
      <c r="H16" s="45">
        <f t="shared" ca="1" si="0"/>
        <v>0</v>
      </c>
      <c r="I16" s="45">
        <f t="shared" ca="1" si="0"/>
        <v>0</v>
      </c>
      <c r="J16" s="45">
        <f t="shared" ca="1" si="0"/>
        <v>0</v>
      </c>
      <c r="K16" s="45">
        <f t="shared" ca="1" si="0"/>
        <v>0</v>
      </c>
      <c r="L16" s="45">
        <f t="shared" ca="1" si="0"/>
        <v>0</v>
      </c>
    </row>
    <row r="17" spans="1:12" ht="14.25" customHeight="1" x14ac:dyDescent="0.3">
      <c r="A17" s="46" t="s">
        <v>126</v>
      </c>
      <c r="B17" s="46"/>
      <c r="C17" s="47">
        <f t="shared" ref="C17:L17" ca="1" si="1">C16/2</f>
        <v>165.50404880922804</v>
      </c>
      <c r="D17" s="47">
        <f t="shared" ca="1" si="1"/>
        <v>72.828886486351209</v>
      </c>
      <c r="E17" s="47">
        <f t="shared" ca="1" si="1"/>
        <v>92.675162322876815</v>
      </c>
      <c r="F17" s="47">
        <f t="shared" ca="1" si="1"/>
        <v>0</v>
      </c>
      <c r="G17" s="47">
        <f t="shared" ca="1" si="1"/>
        <v>0</v>
      </c>
      <c r="H17" s="47">
        <f t="shared" ca="1" si="1"/>
        <v>0</v>
      </c>
      <c r="I17" s="47">
        <f t="shared" ca="1" si="1"/>
        <v>0</v>
      </c>
      <c r="J17" s="47">
        <f t="shared" ca="1" si="1"/>
        <v>0</v>
      </c>
      <c r="K17" s="47">
        <f t="shared" ca="1" si="1"/>
        <v>0</v>
      </c>
      <c r="L17" s="47">
        <f t="shared" ca="1" si="1"/>
        <v>0</v>
      </c>
    </row>
    <row r="18" spans="1:12" ht="14.25" customHeight="1" x14ac:dyDescent="0.3">
      <c r="A18" s="29" t="s">
        <v>127</v>
      </c>
      <c r="B18" s="29"/>
      <c r="C18" s="48">
        <f t="shared" ref="C18:L18" ca="1" si="2">C16-C17</f>
        <v>165.50404880922804</v>
      </c>
      <c r="D18" s="48">
        <f t="shared" ca="1" si="2"/>
        <v>72.828886486351209</v>
      </c>
      <c r="E18" s="48">
        <f t="shared" ca="1" si="2"/>
        <v>92.675162322876815</v>
      </c>
      <c r="F18" s="48">
        <f t="shared" ca="1" si="2"/>
        <v>0</v>
      </c>
      <c r="G18" s="48">
        <f t="shared" ca="1" si="2"/>
        <v>0</v>
      </c>
      <c r="H18" s="48">
        <f t="shared" ca="1" si="2"/>
        <v>0</v>
      </c>
      <c r="I18" s="48">
        <f t="shared" ca="1" si="2"/>
        <v>0</v>
      </c>
      <c r="J18" s="48">
        <f t="shared" ca="1" si="2"/>
        <v>0</v>
      </c>
      <c r="K18" s="48">
        <f t="shared" ca="1" si="2"/>
        <v>0</v>
      </c>
      <c r="L18" s="48">
        <f t="shared" ca="1" si="2"/>
        <v>0</v>
      </c>
    </row>
    <row r="19" spans="1:12" ht="14.25" customHeight="1" x14ac:dyDescent="0.3">
      <c r="A19" s="49" t="s">
        <v>128</v>
      </c>
      <c r="B19" s="49"/>
      <c r="C19" s="50">
        <f>Despesas!B15</f>
        <v>0</v>
      </c>
    </row>
    <row r="20" spans="1:12" ht="14.25" customHeight="1" x14ac:dyDescent="0.3">
      <c r="A20" s="4" t="s">
        <v>129</v>
      </c>
      <c r="C20" s="37" t="str">
        <f ca="1">IF(C16&gt;C19,"Lucro Alto","Lucro Baixo")</f>
        <v>Lucro Alto</v>
      </c>
    </row>
    <row r="21" spans="1:12" ht="14.25" customHeight="1" x14ac:dyDescent="0.3">
      <c r="A21" s="4" t="s">
        <v>130</v>
      </c>
      <c r="C21" s="7">
        <f ca="1">C22*100/C16/100</f>
        <v>1</v>
      </c>
    </row>
    <row r="22" spans="1:12" ht="14.25" customHeight="1" x14ac:dyDescent="0.3">
      <c r="A22" s="51" t="s">
        <v>131</v>
      </c>
      <c r="B22" s="51"/>
      <c r="C22" s="52">
        <f ca="1">IF(C20="Lucro Alto",C16-(C19/2),C16/2)</f>
        <v>331.00809761845608</v>
      </c>
      <c r="D22" s="37">
        <f ca="1">D16*C21 + SUM(E16:L16)*C21*5%</f>
        <v>154.92528920499009</v>
      </c>
      <c r="E22" s="37">
        <f ca="1">E16*(C21*95%)</f>
        <v>176.08280841346595</v>
      </c>
      <c r="F22" s="37">
        <f ca="1">F16*(C21*95%)</f>
        <v>0</v>
      </c>
      <c r="G22" s="37">
        <f ca="1">G16*(C21*95%)</f>
        <v>0</v>
      </c>
      <c r="H22" s="37">
        <f ca="1">H16*(C21*95%)</f>
        <v>0</v>
      </c>
      <c r="I22" s="37">
        <f ca="1">I16*(C21*95%)</f>
        <v>0</v>
      </c>
      <c r="J22" s="37">
        <f ca="1">J16*(C21*95%)</f>
        <v>0</v>
      </c>
      <c r="K22" s="37">
        <f ca="1">K16*(C21*95%)</f>
        <v>0</v>
      </c>
      <c r="L22" s="37">
        <f ca="1">L16*(C21*95%)</f>
        <v>0</v>
      </c>
    </row>
    <row r="23" spans="1:12" ht="14.25" customHeight="1" x14ac:dyDescent="0.3">
      <c r="A23" s="53" t="s">
        <v>132</v>
      </c>
      <c r="B23" s="53"/>
      <c r="C23" s="54">
        <f ca="1">C16-C22</f>
        <v>0</v>
      </c>
    </row>
    <row r="24" spans="1:12" ht="14.25" customHeight="1" x14ac:dyDescent="0.3"/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1"/>
  <sheetViews>
    <sheetView workbookViewId="0">
      <selection activeCell="C5" sqref="C5"/>
    </sheetView>
  </sheetViews>
  <sheetFormatPr defaultColWidth="14.44140625" defaultRowHeight="15" customHeight="1" x14ac:dyDescent="0.3"/>
  <cols>
    <col min="1" max="1" width="15" customWidth="1"/>
    <col min="2" max="2" width="22.6640625" customWidth="1"/>
    <col min="3" max="4" width="26.33203125" customWidth="1"/>
    <col min="5" max="5" width="12.5546875" customWidth="1"/>
    <col min="6" max="8" width="12" customWidth="1"/>
    <col min="9" max="9" width="15.6640625" customWidth="1"/>
    <col min="10" max="10" width="24.109375" customWidth="1"/>
    <col min="11" max="11" width="36.5546875" customWidth="1"/>
    <col min="12" max="26" width="8.6640625" customWidth="1"/>
  </cols>
  <sheetData>
    <row r="1" spans="1:11" ht="14.25" customHeight="1" x14ac:dyDescent="0.3">
      <c r="A1" s="1" t="s">
        <v>102</v>
      </c>
      <c r="B1" s="35" t="s">
        <v>133</v>
      </c>
      <c r="C1" s="36" t="s">
        <v>36</v>
      </c>
      <c r="D1" s="55" t="s">
        <v>134</v>
      </c>
      <c r="E1" s="56" t="s">
        <v>135</v>
      </c>
      <c r="I1" s="57" t="s">
        <v>136</v>
      </c>
      <c r="J1" s="1" t="s">
        <v>137</v>
      </c>
      <c r="K1" s="1" t="s">
        <v>138</v>
      </c>
    </row>
    <row r="2" spans="1:11" ht="14.25" customHeight="1" x14ac:dyDescent="0.3">
      <c r="A2" s="4" t="s">
        <v>3</v>
      </c>
      <c r="B2" s="4" t="s">
        <v>139</v>
      </c>
      <c r="C2" s="37">
        <v>1100</v>
      </c>
      <c r="D2" s="37" t="s">
        <v>64</v>
      </c>
      <c r="E2" s="7">
        <f>IF(D2="Ativo", C2/C9,0)</f>
        <v>0.44</v>
      </c>
      <c r="I2" s="37" t="s">
        <v>64</v>
      </c>
      <c r="J2" s="4" t="s">
        <v>27</v>
      </c>
      <c r="K2" s="4" t="s">
        <v>25</v>
      </c>
    </row>
    <row r="3" spans="1:11" ht="14.25" customHeight="1" x14ac:dyDescent="0.3">
      <c r="A3" s="4" t="s">
        <v>4</v>
      </c>
      <c r="B3" s="4" t="s">
        <v>140</v>
      </c>
      <c r="C3" s="37">
        <v>1100</v>
      </c>
      <c r="D3" s="37" t="s">
        <v>64</v>
      </c>
      <c r="E3" s="7">
        <f>IF(D3="Ativo", C3/C9,0)</f>
        <v>0.44</v>
      </c>
      <c r="I3" s="37" t="s">
        <v>141</v>
      </c>
      <c r="J3" s="4" t="s">
        <v>23</v>
      </c>
      <c r="K3" s="4" t="s">
        <v>142</v>
      </c>
    </row>
    <row r="4" spans="1:11" ht="14.25" customHeight="1" x14ac:dyDescent="0.3">
      <c r="A4" s="4" t="s">
        <v>5</v>
      </c>
      <c r="B4" s="4" t="s">
        <v>140</v>
      </c>
      <c r="C4" s="37">
        <f t="shared" ref="C4:C8" si="0">IF(D4&lt;&gt;"Ativo",0,IF(D4="Ativo",100))</f>
        <v>0</v>
      </c>
      <c r="D4" s="37" t="s">
        <v>141</v>
      </c>
      <c r="E4" s="7">
        <f>IF(D4="Ativo",C4/C9,0)</f>
        <v>0</v>
      </c>
      <c r="I4" s="37" t="s">
        <v>143</v>
      </c>
      <c r="K4" s="4" t="s">
        <v>28</v>
      </c>
    </row>
    <row r="5" spans="1:11" ht="14.25" customHeight="1" x14ac:dyDescent="0.3">
      <c r="A5" s="59" t="s">
        <v>6</v>
      </c>
      <c r="B5" s="4" t="s">
        <v>140</v>
      </c>
      <c r="C5" s="37">
        <f t="shared" si="0"/>
        <v>0</v>
      </c>
      <c r="D5" s="37" t="s">
        <v>141</v>
      </c>
      <c r="E5" s="7">
        <v>0</v>
      </c>
      <c r="I5" s="37"/>
      <c r="K5" s="4"/>
    </row>
    <row r="6" spans="1:11" ht="14.25" customHeight="1" x14ac:dyDescent="0.3">
      <c r="A6" s="4" t="s">
        <v>7</v>
      </c>
      <c r="B6" s="4" t="s">
        <v>140</v>
      </c>
      <c r="C6" s="37">
        <f t="shared" si="0"/>
        <v>100</v>
      </c>
      <c r="D6" s="37" t="s">
        <v>64</v>
      </c>
      <c r="E6" s="7">
        <f>IF(D6="Ativo", C6/C9)</f>
        <v>0.04</v>
      </c>
      <c r="I6" s="37" t="s">
        <v>144</v>
      </c>
      <c r="K6" s="4" t="s">
        <v>29</v>
      </c>
    </row>
    <row r="7" spans="1:11" ht="14.25" customHeight="1" x14ac:dyDescent="0.3">
      <c r="A7" s="4" t="s">
        <v>8</v>
      </c>
      <c r="B7" s="4" t="s">
        <v>140</v>
      </c>
      <c r="C7" s="37">
        <f t="shared" si="0"/>
        <v>100</v>
      </c>
      <c r="D7" s="37" t="s">
        <v>64</v>
      </c>
      <c r="E7" s="7">
        <f>IF(D7="Ativo",C7/C9,0)</f>
        <v>0.04</v>
      </c>
      <c r="K7" s="4" t="s">
        <v>26</v>
      </c>
    </row>
    <row r="8" spans="1:11" ht="14.25" customHeight="1" x14ac:dyDescent="0.3">
      <c r="A8" s="4" t="s">
        <v>9</v>
      </c>
      <c r="B8" s="4" t="s">
        <v>140</v>
      </c>
      <c r="C8" s="37">
        <f t="shared" si="0"/>
        <v>100</v>
      </c>
      <c r="D8" s="37" t="s">
        <v>64</v>
      </c>
      <c r="E8" s="7">
        <f>IF(D8="Ativo",C8/C9,0)</f>
        <v>0.04</v>
      </c>
      <c r="K8" s="4" t="s">
        <v>145</v>
      </c>
    </row>
    <row r="9" spans="1:11" ht="14.25" customHeight="1" x14ac:dyDescent="0.3">
      <c r="A9" s="4" t="s">
        <v>24</v>
      </c>
      <c r="B9" s="4" t="s">
        <v>146</v>
      </c>
      <c r="C9" s="37">
        <f>SUM(C2:C8)</f>
        <v>2500</v>
      </c>
      <c r="D9" s="37"/>
      <c r="E9" s="7">
        <f>SUM(E2:E8)</f>
        <v>1</v>
      </c>
    </row>
    <row r="10" spans="1:11" ht="14.25" customHeight="1" x14ac:dyDescent="0.3"/>
    <row r="11" spans="1:11" ht="14.25" customHeight="1" x14ac:dyDescent="0.3"/>
    <row r="12" spans="1:11" ht="14.25" customHeight="1" x14ac:dyDescent="0.3"/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dataValidations count="1">
    <dataValidation type="list" allowBlank="1" showErrorMessage="1" sqref="D2:D8" xr:uid="{00000000-0002-0000-0A00-000000000000}">
      <formula1>Situação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C1000"/>
  <sheetViews>
    <sheetView workbookViewId="0">
      <selection activeCell="B6" sqref="B6"/>
    </sheetView>
  </sheetViews>
  <sheetFormatPr defaultColWidth="14.44140625" defaultRowHeight="15" customHeight="1" x14ac:dyDescent="0.3"/>
  <cols>
    <col min="1" max="1" width="8.6640625" customWidth="1"/>
    <col min="2" max="2" width="11.6640625" customWidth="1"/>
    <col min="3" max="3" width="14.109375" customWidth="1"/>
    <col min="4" max="26" width="8.6640625" customWidth="1"/>
  </cols>
  <sheetData>
    <row r="1" spans="2:3" ht="14.25" customHeight="1" x14ac:dyDescent="0.3">
      <c r="B1" s="4" t="s">
        <v>147</v>
      </c>
      <c r="C1" s="58">
        <v>45962</v>
      </c>
    </row>
    <row r="2" spans="2:3" ht="14.25" customHeight="1" x14ac:dyDescent="0.3">
      <c r="B2" s="4" t="s">
        <v>148</v>
      </c>
      <c r="C2" s="58">
        <v>45971</v>
      </c>
    </row>
    <row r="3" spans="2:3" ht="14.25" customHeight="1" x14ac:dyDescent="0.3"/>
    <row r="4" spans="2:3" ht="14.25" customHeight="1" x14ac:dyDescent="0.3"/>
    <row r="5" spans="2:3" ht="14.25" customHeight="1" x14ac:dyDescent="0.3"/>
    <row r="6" spans="2:3" ht="14.25" customHeight="1" x14ac:dyDescent="0.3">
      <c r="B6" t="s">
        <v>152</v>
      </c>
    </row>
    <row r="7" spans="2:3" ht="14.25" customHeight="1" x14ac:dyDescent="0.3">
      <c r="B7" t="s">
        <v>49</v>
      </c>
      <c r="C7" s="60">
        <v>0.35749999999999998</v>
      </c>
    </row>
    <row r="8" spans="2:3" ht="14.25" customHeight="1" x14ac:dyDescent="0.3">
      <c r="B8" t="s">
        <v>149</v>
      </c>
      <c r="C8" s="60">
        <v>0.41489999999999999</v>
      </c>
    </row>
    <row r="9" spans="2:3" ht="14.25" customHeight="1" x14ac:dyDescent="0.3">
      <c r="B9" t="s">
        <v>151</v>
      </c>
      <c r="C9" s="60">
        <v>0.2276</v>
      </c>
    </row>
    <row r="10" spans="2:3" ht="14.25" customHeight="1" x14ac:dyDescent="0.3"/>
    <row r="11" spans="2:3" ht="14.25" customHeight="1" x14ac:dyDescent="0.3"/>
    <row r="12" spans="2:3" ht="14.25" customHeight="1" x14ac:dyDescent="0.3"/>
    <row r="13" spans="2:3" ht="14.25" customHeight="1" x14ac:dyDescent="0.3"/>
    <row r="14" spans="2:3" ht="14.25" customHeight="1" x14ac:dyDescent="0.3"/>
    <row r="15" spans="2:3" ht="14.25" customHeight="1" x14ac:dyDescent="0.3"/>
    <row r="16" spans="2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15</vt:i4>
      </vt:variant>
    </vt:vector>
  </HeadingPairs>
  <TitlesOfParts>
    <vt:vector size="27" baseType="lpstr">
      <vt:lpstr>Entradas</vt:lpstr>
      <vt:lpstr>Despesas</vt:lpstr>
      <vt:lpstr>Lançamentos Contábeis</vt:lpstr>
      <vt:lpstr>Plano de Contas</vt:lpstr>
      <vt:lpstr>Balanço</vt:lpstr>
      <vt:lpstr>Pró-labore</vt:lpstr>
      <vt:lpstr>DRE</vt:lpstr>
      <vt:lpstr>Lucros Disponíveis</vt:lpstr>
      <vt:lpstr>Lucros Distribuídos</vt:lpstr>
      <vt:lpstr>Fundos</vt:lpstr>
      <vt:lpstr>Cadastro de Sócios</vt:lpstr>
      <vt:lpstr>Configuração</vt:lpstr>
      <vt:lpstr>Apartada</vt:lpstr>
      <vt:lpstr>Ativo</vt:lpstr>
      <vt:lpstr>Crédito</vt:lpstr>
      <vt:lpstr>Débito</vt:lpstr>
      <vt:lpstr>Despesas</vt:lpstr>
      <vt:lpstr>Espécie</vt:lpstr>
      <vt:lpstr>Estrutura</vt:lpstr>
      <vt:lpstr>Geral</vt:lpstr>
      <vt:lpstr>Mês</vt:lpstr>
      <vt:lpstr>Natureza</vt:lpstr>
      <vt:lpstr>Passivo</vt:lpstr>
      <vt:lpstr>PL</vt:lpstr>
      <vt:lpstr>Receita</vt:lpstr>
      <vt:lpstr>Responsável</vt:lpstr>
      <vt:lpstr>Situação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</cp:lastModifiedBy>
  <dcterms:created xsi:type="dcterms:W3CDTF">2025-05-28T14:24:46Z</dcterms:created>
  <dcterms:modified xsi:type="dcterms:W3CDTF">2025-11-27T06:18:59Z</dcterms:modified>
</cp:coreProperties>
</file>